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710" firstSheet="0" activeTab="9" autoFilterDateGrouping="1"/>
  </bookViews>
  <sheets>
    <sheet name="PLANILLA MAESTRA" sheetId="1" state="visible" r:id="rId1"/>
    <sheet name="LA UNION" sheetId="2" state="visible" r:id="rId2"/>
    <sheet name="LA PURIF" sheetId="3" state="visible" r:id="rId3"/>
    <sheet name="LA PURIF chico" sheetId="4" state="visible" r:id="rId4"/>
    <sheet name="EL BUFALO" sheetId="5" state="visible" r:id="rId5"/>
    <sheet name="EL C1" sheetId="6" state="visible" r:id="rId6"/>
    <sheet name="EL C1 (2)" sheetId="7" state="visible" r:id="rId7"/>
    <sheet name="EL C1 (3)" sheetId="8" state="visible" r:id="rId8"/>
    <sheet name="WICHI" sheetId="9" state="visible" r:id="rId9"/>
    <sheet name="LA PRADERA" sheetId="10" state="visible" r:id="rId10"/>
    <sheet name="total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2"/>
      <u val="single"/>
      <scheme val="minor"/>
    </font>
    <font>
      <name val="Calibri"/>
      <family val="2"/>
      <b val="1"/>
      <color theme="1"/>
      <sz val="26"/>
      <u val="single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12"/>
    </font>
    <font>
      <name val="Calibri"/>
      <b val="1"/>
      <color rgb="001F3864"/>
      <sz val="18"/>
    </font>
    <font>
      <name val="Calibri"/>
      <i val="1"/>
      <color rgb="00595959"/>
      <sz val="10"/>
    </font>
    <font>
      <name val="Calibri"/>
      <b val="1"/>
      <color rgb="001F3864"/>
      <sz val="12"/>
    </font>
    <font>
      <name val="Calibri"/>
      <color rgb="00404040"/>
      <sz val="9"/>
    </font>
    <font>
      <name val="Calibri"/>
      <b val="1"/>
      <color rgb="00FFFFFF"/>
      <sz val="10"/>
    </font>
    <font>
      <name val="Calibri"/>
      <color rgb="000000FF"/>
      <sz val="10"/>
    </font>
    <font>
      <name val="Calibri"/>
      <sz val="10"/>
    </font>
    <font>
      <name val="Calibri"/>
      <b val="1"/>
      <color rgb="00C00000"/>
      <sz val="10"/>
    </font>
    <font>
      <name val="Calibri"/>
      <b val="1"/>
      <sz val="11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D9E2F3"/>
      </patternFill>
    </fill>
    <fill>
      <patternFill patternType="solid">
        <fgColor rgb="00F2F2F2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thin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0" fontId="2" fillId="0" borderId="6" applyAlignment="1" pivotButton="0" quotePrefix="0" xfId="0">
      <alignment horizontal="center"/>
    </xf>
    <xf numFmtId="3" fontId="2" fillId="0" borderId="7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3" fontId="2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3" fontId="2" fillId="0" borderId="5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3" fontId="2" fillId="0" borderId="9" applyAlignment="1" pivotButton="0" quotePrefix="0" xfId="0">
      <alignment horizontal="center"/>
    </xf>
    <xf numFmtId="0" fontId="5" fillId="2" borderId="1" applyAlignment="1" pivotButton="0" quotePrefix="0" xfId="0">
      <alignment horizontal="center"/>
    </xf>
    <xf numFmtId="3" fontId="5" fillId="2" borderId="1" applyAlignment="1" pivotButton="0" quotePrefix="0" xfId="0">
      <alignment horizontal="center"/>
    </xf>
    <xf numFmtId="2" fontId="2" fillId="0" borderId="2" applyAlignment="1" pivotButton="0" quotePrefix="0" xfId="0">
      <alignment horizontal="center"/>
    </xf>
    <xf numFmtId="2" fontId="2" fillId="0" borderId="6" applyAlignment="1" pivotButton="0" quotePrefix="0" xfId="0">
      <alignment horizontal="center"/>
    </xf>
    <xf numFmtId="2" fontId="5" fillId="2" borderId="1" applyAlignment="1" pivotButton="0" quotePrefix="0" xfId="0">
      <alignment horizontal="center"/>
    </xf>
    <xf numFmtId="2" fontId="2" fillId="0" borderId="8" applyAlignment="1" pivotButton="0" quotePrefix="0" xfId="0">
      <alignment horizontal="center"/>
    </xf>
    <xf numFmtId="0" fontId="5" fillId="3" borderId="2" applyAlignment="1" pivotButton="0" quotePrefix="0" xfId="0">
      <alignment horizontal="center"/>
    </xf>
    <xf numFmtId="3" fontId="5" fillId="3" borderId="3" applyAlignment="1" pivotButton="0" quotePrefix="0" xfId="0">
      <alignment horizontal="center"/>
    </xf>
    <xf numFmtId="0" fontId="5" fillId="4" borderId="2" applyAlignment="1" pivotButton="0" quotePrefix="0" xfId="0">
      <alignment horizontal="center"/>
    </xf>
    <xf numFmtId="3" fontId="5" fillId="4" borderId="3" applyAlignment="1" pivotButton="0" quotePrefix="0" xfId="0">
      <alignment horizontal="center"/>
    </xf>
    <xf numFmtId="0" fontId="7" fillId="0" borderId="0" pivotButton="0" quotePrefix="0" xfId="0"/>
    <xf numFmtId="0" fontId="7" fillId="0" borderId="1" pivotButton="0" quotePrefix="0" xfId="0"/>
    <xf numFmtId="3" fontId="8" fillId="0" borderId="1" applyAlignment="1" pivotButton="0" quotePrefix="0" xfId="0">
      <alignment horizontal="right"/>
    </xf>
    <xf numFmtId="0" fontId="6" fillId="0" borderId="10" applyAlignment="1" pivotButton="0" quotePrefix="0" xfId="0">
      <alignment horizontal="center"/>
    </xf>
    <xf numFmtId="0" fontId="6" fillId="0" borderId="11" applyAlignment="1" pivotButton="0" quotePrefix="0" xfId="0">
      <alignment horizontal="center"/>
    </xf>
    <xf numFmtId="0" fontId="6" fillId="0" borderId="12" applyAlignment="1" pivotButton="0" quotePrefix="0" xfId="0">
      <alignment horizontal="center"/>
    </xf>
    <xf numFmtId="0" fontId="6" fillId="0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/>
    </xf>
    <xf numFmtId="0" fontId="6" fillId="0" borderId="15" applyAlignment="1" pivotButton="0" quotePrefix="0" xfId="0">
      <alignment horizontal="center"/>
    </xf>
    <xf numFmtId="3" fontId="8" fillId="5" borderId="1" applyAlignment="1" pivotButton="0" quotePrefix="0" xfId="0">
      <alignment horizontal="right"/>
    </xf>
    <xf numFmtId="0" fontId="9" fillId="0" borderId="0" pivotButton="0" quotePrefix="0" xfId="0"/>
    <xf numFmtId="0" fontId="10" fillId="0" borderId="0" applyAlignment="1" pivotButton="0" quotePrefix="0" xfId="0">
      <alignment vertical="center" wrapText="1"/>
    </xf>
    <xf numFmtId="0" fontId="11" fillId="0" borderId="0" pivotButton="0" quotePrefix="0" xfId="0"/>
    <xf numFmtId="0" fontId="12" fillId="0" borderId="0" pivotButton="0" quotePrefix="0" xfId="0"/>
    <xf numFmtId="0" fontId="13" fillId="6" borderId="19" applyAlignment="1" pivotButton="0" quotePrefix="0" xfId="0">
      <alignment horizontal="center" vertical="center" wrapText="1"/>
    </xf>
    <xf numFmtId="0" fontId="15" fillId="0" borderId="19" applyAlignment="1" pivotButton="0" quotePrefix="0" xfId="0">
      <alignment horizontal="center" vertical="center"/>
    </xf>
    <xf numFmtId="0" fontId="15" fillId="0" borderId="19" applyAlignment="1" pivotButton="0" quotePrefix="0" xfId="0">
      <alignment vertical="center"/>
    </xf>
    <xf numFmtId="2" fontId="14" fillId="0" borderId="19" applyAlignment="1" pivotButton="0" quotePrefix="0" xfId="0">
      <alignment horizontal="center" vertical="center"/>
    </xf>
    <xf numFmtId="3" fontId="15" fillId="0" borderId="19" applyAlignment="1" pivotButton="0" quotePrefix="0" xfId="0">
      <alignment horizontal="center" vertical="center"/>
    </xf>
    <xf numFmtId="0" fontId="15" fillId="7" borderId="19" applyAlignment="1" pivotButton="0" quotePrefix="0" xfId="0">
      <alignment vertical="center"/>
    </xf>
    <xf numFmtId="0" fontId="15" fillId="0" borderId="19" applyAlignment="1" pivotButton="0" quotePrefix="0" xfId="0">
      <alignment vertical="top" wrapText="1"/>
    </xf>
    <xf numFmtId="0" fontId="16" fillId="0" borderId="19" applyAlignment="1" pivotButton="0" quotePrefix="0" xfId="0">
      <alignment horizontal="center" vertical="center"/>
    </xf>
    <xf numFmtId="2" fontId="14" fillId="7" borderId="19" applyAlignment="1" pivotButton="0" quotePrefix="0" xfId="0">
      <alignment horizontal="center" vertical="center"/>
    </xf>
    <xf numFmtId="3" fontId="14" fillId="0" borderId="19" applyAlignment="1" pivotButton="0" quotePrefix="0" xfId="0">
      <alignment horizontal="center" vertical="center"/>
    </xf>
    <xf numFmtId="3" fontId="0" fillId="7" borderId="19" applyAlignment="1" pivotButton="0" quotePrefix="0" xfId="0">
      <alignment horizontal="center" vertical="center"/>
    </xf>
    <xf numFmtId="0" fontId="0" fillId="8" borderId="19" pivotButton="0" quotePrefix="0" xfId="0"/>
    <xf numFmtId="0" fontId="17" fillId="8" borderId="19" pivotButton="0" quotePrefix="0" xfId="0"/>
    <xf numFmtId="3" fontId="17" fillId="8" borderId="19" pivotButton="0" quotePrefix="0" xfId="0"/>
    <xf numFmtId="0" fontId="12" fillId="8" borderId="19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15" fillId="0" borderId="19" pivotButton="0" quotePrefix="0" xfId="0"/>
    <xf numFmtId="0" fontId="15" fillId="7" borderId="19" pivotButton="0" quotePrefix="0" xfId="0"/>
    <xf numFmtId="3" fontId="15" fillId="7" borderId="19" pivotButton="0" quotePrefix="0" xfId="0"/>
    <xf numFmtId="0" fontId="18" fillId="9" borderId="19" applyAlignment="1" pivotButton="0" quotePrefix="0" xfId="0">
      <alignment vertical="top" wrapText="1"/>
    </xf>
    <xf numFmtId="0" fontId="0" fillId="9" borderId="19" pivotButton="0" quotePrefix="0" xfId="0"/>
    <xf numFmtId="0" fontId="0" fillId="0" borderId="19" pivotButton="0" quotePrefix="0" xfId="0"/>
    <xf numFmtId="0" fontId="6" fillId="0" borderId="16" applyAlignment="1" pivotButton="0" quotePrefix="0" xfId="0">
      <alignment horizontal="center"/>
    </xf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8" customWidth="1" min="3" max="3"/>
    <col width="15" customWidth="1" min="4" max="4"/>
    <col width="12" customWidth="1" min="5" max="5"/>
    <col width="11" customWidth="1" min="6" max="6"/>
    <col width="11" customWidth="1" min="7" max="7"/>
    <col width="13" customWidth="1" min="8" max="8"/>
    <col width="13" customWidth="1" min="9" max="9"/>
    <col width="14" customWidth="1" min="10" max="10"/>
    <col width="16" customWidth="1" min="11" max="11"/>
    <col width="17" customWidth="1" min="12" max="12"/>
    <col width="16" customWidth="1" min="13" max="13"/>
    <col width="13" customWidth="1" min="14" max="14"/>
    <col width="16" customWidth="1" min="15" max="15"/>
    <col width="18" customWidth="1" min="16" max="16"/>
    <col width="15" customWidth="1" min="17" max="17"/>
    <col width="62" customWidth="1" min="18" max="18"/>
  </cols>
  <sheetData>
    <row r="1" ht="26" customHeight="1">
      <c r="A1" s="33" t="inlineStr">
        <is>
          <t>PLANILLA MAESTRA DE DEPÓSITOS DE COMBUSTIBLE</t>
        </is>
      </c>
    </row>
    <row r="2" ht="26" customHeight="1">
      <c r="A2" s="34" t="inlineStr">
        <is>
          <t>Fuente: hojas de medición de este mismo archivo + notas manuscritas "Registro de despacho de combustible". Esta hoja es la lista única de tanques que va a leer el sistema. Las hojas de cada tanque NO se modificaron.</t>
        </is>
      </c>
    </row>
    <row r="4">
      <c r="A4" s="35" t="inlineStr">
        <is>
          <t>CÓMO USAR ESTA HOJA</t>
        </is>
      </c>
    </row>
    <row r="5">
      <c r="A5" s="36" t="inlineStr">
        <is>
          <t>•  Las celdas AMARILLAS son las que hay que completar a mano. Todo lo demás ya está cargado o se calcula solo.</t>
        </is>
      </c>
    </row>
    <row r="6">
      <c r="A6" s="36" t="inlineStr">
        <is>
          <t>•  Los números en AZUL se escribieron a mano. Los números en NEGRO son fórmulas: si cambiás la longitud o el diámetro, la capacidad se recalcula sola.</t>
        </is>
      </c>
    </row>
    <row r="7">
      <c r="A7" s="36" t="inlineStr">
        <is>
          <t>•  La columna CAPACIDAD usa la fórmula del cilindro acostado:  Pi x (diámetro / 2)² x longitud x 1000.  Todas las medidas en metros, el resultado en litros.</t>
        </is>
      </c>
    </row>
    <row r="8">
      <c r="A8" s="36" t="inlineStr">
        <is>
          <t>•  La columna LTS x CM DE VARILLA dice cuántos litros representa 1 cm de varilla en el punto más ancho del tanque (la mitad). Sirve para saber cuánto error mete una lectura floja.</t>
        </is>
      </c>
    </row>
    <row r="9">
      <c r="A9" s="36" t="inlineStr">
        <is>
          <t>•  La columna ESTADO DEL DATO avisa si esa fila está lista (OK), si hay que corregir algo (CORREGIR) o si falta información (FALTAN DATOS).</t>
        </is>
      </c>
    </row>
    <row r="11" ht="42" customHeight="1">
      <c r="A11" s="37" t="inlineStr">
        <is>
          <t>ID</t>
        </is>
      </c>
      <c r="B11" s="37" t="inlineStr">
        <is>
          <t>CAMPO /
ESTABLECIMIENTO</t>
        </is>
      </c>
      <c r="C11" s="37" t="inlineStr">
        <is>
          <t>NOMBRE DEL
TANQUE</t>
        </is>
      </c>
      <c r="D11" s="37" t="inlineStr">
        <is>
          <t>TIPO</t>
        </is>
      </c>
      <c r="E11" s="37" t="inlineStr">
        <is>
          <t>COMBUSTIBLE</t>
        </is>
      </c>
      <c r="F11" s="37" t="inlineStr">
        <is>
          <t>LONGITUD
(m)</t>
        </is>
      </c>
      <c r="G11" s="37" t="inlineStr">
        <is>
          <t>DIÁMETRO
(m)</t>
        </is>
      </c>
      <c r="H11" s="37" t="inlineStr">
        <is>
          <t>CAPACIDAD
(Lts)</t>
        </is>
      </c>
      <c r="I11" s="37" t="inlineStr">
        <is>
          <t>LTS x CM
DE VARILLA</t>
        </is>
      </c>
      <c r="J11" s="37" t="inlineStr">
        <is>
          <t>¿TIENE
CONTADOR?</t>
        </is>
      </c>
      <c r="K11" s="37" t="inlineStr">
        <is>
          <t>TIPO DE
CONTADOR</t>
        </is>
      </c>
      <c r="L11" s="37" t="inlineStr">
        <is>
          <t>¿TIENE VARILLA /
TABLA DE AFORO?</t>
        </is>
      </c>
      <c r="M11" s="37" t="inlineStr">
        <is>
          <t>HOJA DE AFORO
(en este archivo)</t>
        </is>
      </c>
      <c r="N11" s="37" t="inlineStr">
        <is>
          <t>UNIDAD DE
LA VARILLA</t>
        </is>
      </c>
      <c r="O11" s="37" t="inlineStr">
        <is>
          <t>CÓDIGO DE ACCESO
(PROPUESTO)</t>
        </is>
      </c>
      <c r="P11" s="37" t="inlineStr">
        <is>
          <t>DESPACHANTE
(nombre)</t>
        </is>
      </c>
      <c r="Q11" s="37" t="inlineStr">
        <is>
          <t>ESTADO
DEL DATO</t>
        </is>
      </c>
      <c r="R11" s="37" t="inlineStr">
        <is>
          <t>OBSERVACIONES</t>
        </is>
      </c>
    </row>
    <row r="12" ht="58" customHeight="1">
      <c r="A12" s="38" t="inlineStr">
        <is>
          <t>COMB-01</t>
        </is>
      </c>
      <c r="B12" s="39" t="inlineStr">
        <is>
          <t>LA UNION</t>
        </is>
      </c>
      <c r="C12" s="39" t="inlineStr">
        <is>
          <t>LA UNION</t>
        </is>
      </c>
      <c r="D12" s="38" t="inlineStr">
        <is>
          <t>A VERIFICAR</t>
        </is>
      </c>
      <c r="E12" s="38" t="inlineStr">
        <is>
          <t>GASOIL</t>
        </is>
      </c>
      <c r="F12" s="40" t="n">
        <v>4.78</v>
      </c>
      <c r="G12" s="40" t="n">
        <v>1.74</v>
      </c>
      <c r="H12" s="41">
        <f>ROUND(PI()*(G12/2)^2*F12*1000,0)</f>
        <v>11366</v>
      </c>
      <c r="I12" s="41">
        <f>ROUND(G12*F12*10,0)</f>
        <v>83</v>
      </c>
      <c r="J12" s="38" t="inlineStr">
        <is>
          <t>A VERIFICAR</t>
        </is>
      </c>
      <c r="K12" s="39" t="inlineStr"/>
      <c r="L12" s="38" t="inlineStr">
        <is>
          <t>SÍ</t>
        </is>
      </c>
      <c r="M12" s="39" t="inlineStr">
        <is>
          <t>LA UNION</t>
        </is>
      </c>
      <c r="N12" s="38" t="inlineStr">
        <is>
          <t>cm</t>
        </is>
      </c>
      <c r="O12" s="38" t="inlineStr">
        <is>
          <t>UNION26</t>
        </is>
      </c>
      <c r="P12" s="42" t="n"/>
      <c r="Q12" s="38" t="inlineStr">
        <is>
          <t>VERIFICAR</t>
        </is>
      </c>
      <c r="R12" s="43" t="inlineStr">
        <is>
          <t>Campo que NO tiene código en la app de balanza: hay que crear uno nuevo. OJO: la tabla de aforo de este tanque está en CENTÍMETROS (0 a 174), mientras que todas las demás están en METROS. Conviene pasarlas todas a la misma unidad.</t>
        </is>
      </c>
    </row>
    <row r="13" ht="58" customHeight="1">
      <c r="A13" s="38" t="inlineStr">
        <is>
          <t>COMB-02</t>
        </is>
      </c>
      <c r="B13" s="39" t="inlineStr">
        <is>
          <t>LA PURIFICADA</t>
        </is>
      </c>
      <c r="C13" s="39" t="inlineStr">
        <is>
          <t>TANQUE GRANDE</t>
        </is>
      </c>
      <c r="D13" s="38" t="inlineStr">
        <is>
          <t>FIJO</t>
        </is>
      </c>
      <c r="E13" s="38" t="inlineStr">
        <is>
          <t>GASOIL</t>
        </is>
      </c>
      <c r="F13" s="40" t="n">
        <v>5.5</v>
      </c>
      <c r="G13" s="40" t="n">
        <v>2.28</v>
      </c>
      <c r="H13" s="41">
        <f>ROUND(PI()*(G13/2)^2*F13*1000,0)</f>
        <v>22455</v>
      </c>
      <c r="I13" s="41">
        <f>ROUND(G13*F13*10,0)</f>
        <v>125</v>
      </c>
      <c r="J13" s="38" t="inlineStr">
        <is>
          <t>SÍ (a confirmar)</t>
        </is>
      </c>
      <c r="K13" s="39" t="inlineStr">
        <is>
          <t>MECÁNICO</t>
        </is>
      </c>
      <c r="L13" s="38" t="inlineStr">
        <is>
          <t>SÍ</t>
        </is>
      </c>
      <c r="M13" s="39" t="inlineStr">
        <is>
          <t>LA PURIF</t>
        </is>
      </c>
      <c r="N13" s="38" t="inlineStr">
        <is>
          <t>m</t>
        </is>
      </c>
      <c r="O13" s="38" t="inlineStr">
        <is>
          <t>PURIFICADA26</t>
        </is>
      </c>
      <c r="P13" s="42" t="n"/>
      <c r="Q13" s="38" t="inlineStr">
        <is>
          <t>OK</t>
        </is>
      </c>
      <c r="R13" s="43" t="inlineStr">
        <is>
          <t>Antes se llamaba QUIMILI. Renombrado a LA PURIFICADA según la nota manuscrita.</t>
        </is>
      </c>
    </row>
    <row r="14" ht="58" customHeight="1">
      <c r="A14" s="38" t="inlineStr">
        <is>
          <t>COMB-03</t>
        </is>
      </c>
      <c r="B14" s="39" t="inlineStr">
        <is>
          <t>LA PURIFICADA</t>
        </is>
      </c>
      <c r="C14" s="39" t="inlineStr">
        <is>
          <t>TANQUE CHICO</t>
        </is>
      </c>
      <c r="D14" s="38" t="inlineStr">
        <is>
          <t>FIJO</t>
        </is>
      </c>
      <c r="E14" s="38" t="inlineStr">
        <is>
          <t>GASOIL</t>
        </is>
      </c>
      <c r="F14" s="40" t="n">
        <v>3.15</v>
      </c>
      <c r="G14" s="40" t="n">
        <v>1.48</v>
      </c>
      <c r="H14" s="41">
        <f>ROUND(PI()*(G14/2)^2*F14*1000,0)</f>
        <v>5419</v>
      </c>
      <c r="I14" s="41">
        <f>ROUND(G14*F14*10,0)</f>
        <v>47</v>
      </c>
      <c r="J14" s="38" t="inlineStr">
        <is>
          <t>SÍ (a confirmar)</t>
        </is>
      </c>
      <c r="K14" s="39" t="inlineStr">
        <is>
          <t>MECÁNICO</t>
        </is>
      </c>
      <c r="L14" s="38" t="inlineStr">
        <is>
          <t>SÍ</t>
        </is>
      </c>
      <c r="M14" s="39" t="inlineStr">
        <is>
          <t>LA PURIF chico</t>
        </is>
      </c>
      <c r="N14" s="38" t="inlineStr">
        <is>
          <t>m</t>
        </is>
      </c>
      <c r="O14" s="38" t="inlineStr">
        <is>
          <t>PURIFICADA26</t>
        </is>
      </c>
      <c r="P14" s="42" t="n"/>
      <c r="Q14" s="38" t="inlineStr">
        <is>
          <t>OK</t>
        </is>
      </c>
      <c r="R14" s="43" t="inlineStr">
        <is>
          <t>Segundo tanque del mismo campo. El sistema tiene que poder distinguirlo del grande al momento de despachar.</t>
        </is>
      </c>
    </row>
    <row r="15" ht="58" customHeight="1">
      <c r="A15" s="38" t="inlineStr">
        <is>
          <t>COMB-04</t>
        </is>
      </c>
      <c r="B15" s="39" t="inlineStr">
        <is>
          <t>EL BUFALO</t>
        </is>
      </c>
      <c r="C15" s="39" t="inlineStr">
        <is>
          <t>EL BUFALO</t>
        </is>
      </c>
      <c r="D15" s="38" t="inlineStr">
        <is>
          <t>FIJO</t>
        </is>
      </c>
      <c r="E15" s="38" t="inlineStr">
        <is>
          <t>GASOIL</t>
        </is>
      </c>
      <c r="F15" s="40" t="n">
        <v>7.62</v>
      </c>
      <c r="G15" s="40" t="n">
        <v>2.28</v>
      </c>
      <c r="H15" s="41">
        <f>ROUND(PI()*(G15/2)^2*F15*1000,0)</f>
        <v>31111</v>
      </c>
      <c r="I15" s="41">
        <f>ROUND(G15*F15*10,0)</f>
        <v>174</v>
      </c>
      <c r="J15" s="38" t="inlineStr">
        <is>
          <t>SÍ (a confirmar)</t>
        </is>
      </c>
      <c r="K15" s="39" t="inlineStr">
        <is>
          <t>MECÁNICO</t>
        </is>
      </c>
      <c r="L15" s="38" t="inlineStr">
        <is>
          <t>SÍ</t>
        </is>
      </c>
      <c r="M15" s="39" t="inlineStr">
        <is>
          <t>EL BUFALO</t>
        </is>
      </c>
      <c r="N15" s="38" t="inlineStr">
        <is>
          <t>m</t>
        </is>
      </c>
      <c r="O15" s="38" t="inlineStr">
        <is>
          <t>BUFALO26</t>
        </is>
      </c>
      <c r="P15" s="42" t="n"/>
      <c r="Q15" s="44" t="inlineStr">
        <is>
          <t>CORREGIR</t>
        </is>
      </c>
      <c r="R15" s="43" t="inlineStr">
        <is>
          <t>Campo que NO tiene código en la app de balanza: hay que crear uno nuevo. ERROR DE TIPEO EN LA TABLA DE AFORO: a 0,15 m la hoja dice 589 Lts y le corresponden 873 Lts (falta 284 Lts). Es el tanque más grande con aforo, y el que más litros mueve por cm de varilla.</t>
        </is>
      </c>
    </row>
    <row r="16" ht="58" customHeight="1">
      <c r="A16" s="38" t="inlineStr">
        <is>
          <t>COMB-05</t>
        </is>
      </c>
      <c r="B16" s="39" t="inlineStr">
        <is>
          <t>EL C1</t>
        </is>
      </c>
      <c r="C16" s="39" t="inlineStr">
        <is>
          <t>CISTERNA 1</t>
        </is>
      </c>
      <c r="D16" s="38" t="inlineStr">
        <is>
          <t>A VERIFICAR</t>
        </is>
      </c>
      <c r="E16" s="38" t="inlineStr">
        <is>
          <t>GASOIL</t>
        </is>
      </c>
      <c r="F16" s="40" t="n">
        <v>4.95</v>
      </c>
      <c r="G16" s="40" t="n">
        <v>2.25</v>
      </c>
      <c r="H16" s="41">
        <f>ROUND(PI()*(G16/2)^2*F16*1000,0)</f>
        <v>19682</v>
      </c>
      <c r="I16" s="41">
        <f>ROUND(G16*F16*10,0)</f>
        <v>111</v>
      </c>
      <c r="J16" s="38" t="inlineStr">
        <is>
          <t>A VERIFICAR</t>
        </is>
      </c>
      <c r="K16" s="39" t="inlineStr"/>
      <c r="L16" s="38" t="inlineStr">
        <is>
          <t>SÍ</t>
        </is>
      </c>
      <c r="M16" s="39" t="inlineStr">
        <is>
          <t>EL C1</t>
        </is>
      </c>
      <c r="N16" s="38" t="inlineStr">
        <is>
          <t>m</t>
        </is>
      </c>
      <c r="O16" s="38" t="inlineStr">
        <is>
          <t>C126</t>
        </is>
      </c>
      <c r="P16" s="42" t="n"/>
      <c r="Q16" s="38" t="inlineStr">
        <is>
          <t>VERIFICAR</t>
        </is>
      </c>
      <c r="R16" s="43" t="inlineStr">
        <is>
          <t>La hoja lo llama "Cisterna", pero la nota manuscrita dice que en el Excel están los depósitos FIJOS y que las cisternas faltan listar. Hay que definir si este tanque es fijo o móvil: si es móvil, se traslada entre campos y eso cambia cómo se registra.</t>
        </is>
      </c>
    </row>
    <row r="17" ht="58" customHeight="1">
      <c r="A17" s="38" t="inlineStr">
        <is>
          <t>COMB-06</t>
        </is>
      </c>
      <c r="B17" s="39" t="inlineStr">
        <is>
          <t>EL C1</t>
        </is>
      </c>
      <c r="C17" s="39" t="inlineStr">
        <is>
          <t>CISTERNA 2</t>
        </is>
      </c>
      <c r="D17" s="38" t="inlineStr">
        <is>
          <t>A VERIFICAR</t>
        </is>
      </c>
      <c r="E17" s="38" t="inlineStr">
        <is>
          <t>GASOIL</t>
        </is>
      </c>
      <c r="F17" s="40" t="n">
        <v>5.05</v>
      </c>
      <c r="G17" s="40" t="n">
        <v>1.96</v>
      </c>
      <c r="H17" s="41">
        <f>ROUND(PI()*(G17/2)^2*F17*1000,0)</f>
        <v>15237</v>
      </c>
      <c r="I17" s="41">
        <f>ROUND(G17*F17*10,0)</f>
        <v>99</v>
      </c>
      <c r="J17" s="38" t="inlineStr">
        <is>
          <t>A VERIFICAR</t>
        </is>
      </c>
      <c r="K17" s="39" t="inlineStr"/>
      <c r="L17" s="38" t="inlineStr">
        <is>
          <t>SÍ</t>
        </is>
      </c>
      <c r="M17" s="39" t="inlineStr">
        <is>
          <t>EL C1 (2)</t>
        </is>
      </c>
      <c r="N17" s="38" t="inlineStr">
        <is>
          <t>m</t>
        </is>
      </c>
      <c r="O17" s="38" t="inlineStr">
        <is>
          <t>C126</t>
        </is>
      </c>
      <c r="P17" s="42" t="n"/>
      <c r="Q17" s="44" t="inlineStr">
        <is>
          <t>CORREGIR</t>
        </is>
      </c>
      <c r="R17" s="43" t="inlineStr">
        <is>
          <t>Ídem anterior (definir fijo o móvil). ERROR DE TIPEO EN LA TABLA DE AFORO: a 0,05 m la hoja dice 50 Lts y le corresponden 105 Lts. ADEMÁS: la hoja "EL C1 (3) Tanquesito" es una COPIA de este tanque (misma longitud 5,05 y mismo diámetro 1,96, misma tabla entera). Confirmado con vos que EL C1 tiene 2 depósitos, no 3: esa hoja se puede borrar o hay que medir el tercero de verdad.</t>
        </is>
      </c>
    </row>
    <row r="18" ht="58" customHeight="1">
      <c r="A18" s="38" t="inlineStr">
        <is>
          <t>COMB-07</t>
        </is>
      </c>
      <c r="B18" s="39" t="inlineStr">
        <is>
          <t>EL WICHI</t>
        </is>
      </c>
      <c r="C18" s="39" t="inlineStr">
        <is>
          <t>WICHI</t>
        </is>
      </c>
      <c r="D18" s="38" t="inlineStr">
        <is>
          <t>FIJO</t>
        </is>
      </c>
      <c r="E18" s="38" t="inlineStr">
        <is>
          <t>GASOIL</t>
        </is>
      </c>
      <c r="F18" s="40" t="n">
        <v>6.08</v>
      </c>
      <c r="G18" s="40" t="n">
        <v>2.5</v>
      </c>
      <c r="H18" s="41">
        <f>ROUND(PI()*(G18/2)^2*F18*1000,0)</f>
        <v>29845</v>
      </c>
      <c r="I18" s="41">
        <f>ROUND(G18*F18*10,0)</f>
        <v>152</v>
      </c>
      <c r="J18" s="38" t="inlineStr">
        <is>
          <t>SÍ (a confirmar)</t>
        </is>
      </c>
      <c r="K18" s="39" t="inlineStr">
        <is>
          <t>MECÁNICO</t>
        </is>
      </c>
      <c r="L18" s="38" t="inlineStr">
        <is>
          <t>SÍ</t>
        </is>
      </c>
      <c r="M18" s="39" t="inlineStr">
        <is>
          <t>WICHI</t>
        </is>
      </c>
      <c r="N18" s="38" t="inlineStr">
        <is>
          <t>m</t>
        </is>
      </c>
      <c r="O18" s="38" t="inlineStr">
        <is>
          <t>WICHI26</t>
        </is>
      </c>
      <c r="P18" s="42" t="n"/>
      <c r="Q18" s="38" t="inlineStr">
        <is>
          <t>OK</t>
        </is>
      </c>
      <c r="R18" s="43" t="inlineStr">
        <is>
          <t>Medidas y tabla de aforo verificadas: coinciden con la fórmula del cilindro.</t>
        </is>
      </c>
    </row>
    <row r="19" ht="58" customHeight="1">
      <c r="A19" s="38" t="inlineStr">
        <is>
          <t>COMB-08</t>
        </is>
      </c>
      <c r="B19" s="39" t="inlineStr">
        <is>
          <t>LA PRADERA</t>
        </is>
      </c>
      <c r="C19" s="39" t="inlineStr">
        <is>
          <t>TANQUE 20 MIL</t>
        </is>
      </c>
      <c r="D19" s="38" t="inlineStr">
        <is>
          <t>FIJO</t>
        </is>
      </c>
      <c r="E19" s="38" t="inlineStr">
        <is>
          <t>GASOIL</t>
        </is>
      </c>
      <c r="F19" s="40" t="n">
        <v>4.5</v>
      </c>
      <c r="G19" s="40" t="n">
        <v>2.4</v>
      </c>
      <c r="H19" s="41">
        <f>ROUND(PI()*(G19/2)^2*F19*1000,0)</f>
        <v>20358</v>
      </c>
      <c r="I19" s="41">
        <f>ROUND(G19*F19*10,0)</f>
        <v>108</v>
      </c>
      <c r="J19" s="38" t="inlineStr">
        <is>
          <t>SÍ (a confirmar)</t>
        </is>
      </c>
      <c r="K19" s="39" t="inlineStr">
        <is>
          <t>MECÁNICO</t>
        </is>
      </c>
      <c r="L19" s="38" t="inlineStr">
        <is>
          <t>SÍ</t>
        </is>
      </c>
      <c r="M19" s="39" t="inlineStr">
        <is>
          <t>LA PRADERA</t>
        </is>
      </c>
      <c r="N19" s="38" t="inlineStr">
        <is>
          <t>m</t>
        </is>
      </c>
      <c r="O19" s="38" t="inlineStr">
        <is>
          <t>PRADERA26</t>
        </is>
      </c>
      <c r="P19" s="42" t="n"/>
      <c r="Q19" s="38" t="inlineStr">
        <is>
          <t>OK</t>
        </is>
      </c>
      <c r="R19" s="43" t="inlineStr">
        <is>
          <t>Uno de los dos tanques de LA PRADERA. Medidas y tabla de aforo verificadas.</t>
        </is>
      </c>
    </row>
    <row r="20" ht="58" customHeight="1">
      <c r="A20" s="38" t="inlineStr">
        <is>
          <t>COMB-09</t>
        </is>
      </c>
      <c r="B20" s="39" t="inlineStr">
        <is>
          <t>LA PRADERA</t>
        </is>
      </c>
      <c r="C20" s="39" t="inlineStr">
        <is>
          <t>TANQUE 60 MIL</t>
        </is>
      </c>
      <c r="D20" s="38" t="inlineStr">
        <is>
          <t>FIJO</t>
        </is>
      </c>
      <c r="E20" s="38" t="inlineStr">
        <is>
          <t>GASOIL</t>
        </is>
      </c>
      <c r="F20" s="45" t="n"/>
      <c r="G20" s="45" t="n"/>
      <c r="H20" s="46" t="n">
        <v>60000</v>
      </c>
      <c r="I20" s="47" t="n"/>
      <c r="J20" s="38" t="inlineStr">
        <is>
          <t>A VERIFICAR</t>
        </is>
      </c>
      <c r="K20" s="39" t="inlineStr"/>
      <c r="L20" s="38" t="inlineStr">
        <is>
          <t>NO</t>
        </is>
      </c>
      <c r="M20" s="39" t="inlineStr">
        <is>
          <t>FALTA</t>
        </is>
      </c>
      <c r="N20" s="38" t="inlineStr"/>
      <c r="O20" s="38" t="inlineStr">
        <is>
          <t>PRADERA26</t>
        </is>
      </c>
      <c r="P20" s="42" t="n"/>
      <c r="Q20" s="44" t="inlineStr">
        <is>
          <t>FALTAN DATOS</t>
        </is>
      </c>
      <c r="R20" s="43" t="inlineStr">
        <is>
          <t>Segundo tanque de LA PRADERA. NO tiene hoja de medición en este archivo: hay que medir longitud y diámetro para calcular la capacidad real y armar su tabla de aforo. Los 60.000 Lts son un estimado: la hoja "total" anotaba 50.000 y 60.000 con la nota "se creía de este tamaño, por medidas daba 60 mil".</t>
        </is>
      </c>
    </row>
    <row r="21">
      <c r="A21" s="48" t="n"/>
      <c r="B21" s="48" t="n"/>
      <c r="C21" s="49" t="inlineStr">
        <is>
          <t>TOTAL CAPACIDAD INSTALADA</t>
        </is>
      </c>
      <c r="D21" s="48" t="n"/>
      <c r="E21" s="48" t="n"/>
      <c r="F21" s="48" t="n"/>
      <c r="G21" s="48" t="n"/>
      <c r="H21" s="50">
        <f>SUM(H12:H20)</f>
        <v>215473</v>
      </c>
      <c r="I21" s="48" t="n"/>
      <c r="J21" s="48" t="n"/>
      <c r="K21" s="48" t="n"/>
      <c r="L21" s="48" t="n"/>
      <c r="M21" s="48" t="n"/>
      <c r="N21" s="48" t="n"/>
      <c r="O21" s="48" t="n"/>
      <c r="P21" s="48" t="n"/>
      <c r="Q21" s="48" t="n"/>
      <c r="R21" s="51" t="inlineStr">
        <is>
          <t>Suma de los 9 tanques listados, tomando los 60.000 Lts estimados de LA PRADERA. La hoja "total" del archivo original da 215.474 Lts: la diferencia de 1 litro es porque ahí el tanque chico de LA PURIFICADA figura redondeado a 5.420 y el cálculo exacto da 5.419,3 Lts.</t>
        </is>
      </c>
    </row>
    <row r="23">
      <c r="A23" s="35" t="inlineStr">
        <is>
          <t>CISTERNAS MÓVILES POR LISTAR — completar las filas amarillas</t>
        </is>
      </c>
    </row>
    <row r="24" ht="30" customHeight="1">
      <c r="A24" s="52" t="inlineStr">
        <is>
          <t>La nota manuscrita dice: "Hay otros depósitos móviles, que llamamos cisternas, en varios campos. A veces se trasladan entre ellos" y "Falta listar las cisternas". Cada cisterna necesita: en qué campo está hoy, capacidad, y si tiene contador. Como se trasladan, el sistema las va a tratar como depósitos que cambian de campo (movimiento tipo TRASLADO).</t>
        </is>
      </c>
    </row>
    <row r="25">
      <c r="A25" s="53" t="inlineStr">
        <is>
          <t>COMB-10</t>
        </is>
      </c>
      <c r="B25" s="54" t="n"/>
      <c r="C25" s="54" t="n"/>
      <c r="D25" s="54" t="inlineStr">
        <is>
          <t>CISTERNA MÓVIL</t>
        </is>
      </c>
      <c r="E25" s="54" t="inlineStr">
        <is>
          <t>GASOIL</t>
        </is>
      </c>
      <c r="F25" s="54" t="n"/>
      <c r="G25" s="54" t="n"/>
      <c r="H25" s="55" t="str">
        <f>IF(AND(F25&lt;&gt;"",G25&lt;&gt;""),ROUND(PI()*(G25/2)^2*F25*1000,0),"")</f>
        <v/>
      </c>
      <c r="I25" s="55" t="str">
        <f>IF(AND(F25&lt;&gt;"",G25&lt;&gt;""),ROUND(G25*F25*10,0),"")</f>
        <v/>
      </c>
      <c r="J25" s="54" t="n"/>
      <c r="K25" s="54" t="n"/>
      <c r="L25" s="54" t="n"/>
      <c r="M25" s="54" t="n"/>
      <c r="N25" s="54" t="n"/>
      <c r="O25" s="54" t="n"/>
      <c r="P25" s="54" t="n"/>
      <c r="Q25" s="54" t="n"/>
      <c r="R25" s="54" t="n"/>
    </row>
    <row r="26">
      <c r="A26" s="53" t="inlineStr">
        <is>
          <t>COMB-11</t>
        </is>
      </c>
      <c r="B26" s="54" t="n"/>
      <c r="C26" s="54" t="n"/>
      <c r="D26" s="54" t="inlineStr">
        <is>
          <t>CISTERNA MÓVIL</t>
        </is>
      </c>
      <c r="E26" s="54" t="inlineStr">
        <is>
          <t>GASOIL</t>
        </is>
      </c>
      <c r="F26" s="54" t="n"/>
      <c r="G26" s="54" t="n"/>
      <c r="H26" s="55" t="str">
        <f>IF(AND(F26&lt;&gt;"",G26&lt;&gt;""),ROUND(PI()*(G26/2)^2*F26*1000,0),"")</f>
        <v/>
      </c>
      <c r="I26" s="55" t="str">
        <f>IF(AND(F26&lt;&gt;"",G26&lt;&gt;""),ROUND(G26*F26*10,0),"")</f>
        <v/>
      </c>
      <c r="J26" s="54" t="n"/>
      <c r="K26" s="54" t="n"/>
      <c r="L26" s="54" t="n"/>
      <c r="M26" s="54" t="n"/>
      <c r="N26" s="54" t="n"/>
      <c r="O26" s="54" t="n"/>
      <c r="P26" s="54" t="n"/>
      <c r="Q26" s="54" t="n"/>
      <c r="R26" s="54" t="n"/>
    </row>
    <row r="27">
      <c r="A27" s="53" t="inlineStr">
        <is>
          <t>COMB-12</t>
        </is>
      </c>
      <c r="B27" s="54" t="n"/>
      <c r="C27" s="54" t="n"/>
      <c r="D27" s="54" t="inlineStr">
        <is>
          <t>CISTERNA MÓVIL</t>
        </is>
      </c>
      <c r="E27" s="54" t="inlineStr">
        <is>
          <t>GASOIL</t>
        </is>
      </c>
      <c r="F27" s="54" t="n"/>
      <c r="G27" s="54" t="n"/>
      <c r="H27" s="55" t="str">
        <f>IF(AND(F27&lt;&gt;"",G27&lt;&gt;""),ROUND(PI()*(G27/2)^2*F27*1000,0),"")</f>
        <v/>
      </c>
      <c r="I27" s="55" t="str">
        <f>IF(AND(F27&lt;&gt;"",G27&lt;&gt;""),ROUND(G27*F27*10,0),"")</f>
        <v/>
      </c>
      <c r="J27" s="54" t="n"/>
      <c r="K27" s="54" t="n"/>
      <c r="L27" s="54" t="n"/>
      <c r="M27" s="54" t="n"/>
      <c r="N27" s="54" t="n"/>
      <c r="O27" s="54" t="n"/>
      <c r="P27" s="54" t="n"/>
      <c r="Q27" s="54" t="n"/>
      <c r="R27" s="54" t="n"/>
    </row>
    <row r="28">
      <c r="A28" s="53" t="inlineStr">
        <is>
          <t>COMB-13</t>
        </is>
      </c>
      <c r="B28" s="54" t="n"/>
      <c r="C28" s="54" t="n"/>
      <c r="D28" s="54" t="inlineStr">
        <is>
          <t>CISTERNA MÓVIL</t>
        </is>
      </c>
      <c r="E28" s="54" t="inlineStr">
        <is>
          <t>GASOIL</t>
        </is>
      </c>
      <c r="F28" s="54" t="n"/>
      <c r="G28" s="54" t="n"/>
      <c r="H28" s="55" t="str">
        <f>IF(AND(F28&lt;&gt;"",G28&lt;&gt;""),ROUND(PI()*(G28/2)^2*F28*1000,0),"")</f>
        <v/>
      </c>
      <c r="I28" s="55" t="str">
        <f>IF(AND(F28&lt;&gt;"",G28&lt;&gt;""),ROUND(G28*F28*10,0),"")</f>
        <v/>
      </c>
      <c r="J28" s="54" t="n"/>
      <c r="K28" s="54" t="n"/>
      <c r="L28" s="54" t="n"/>
      <c r="M28" s="54" t="n"/>
      <c r="N28" s="54" t="n"/>
      <c r="O28" s="54" t="n"/>
      <c r="P28" s="54" t="n"/>
      <c r="Q28" s="54" t="n"/>
      <c r="R28" s="54" t="n"/>
    </row>
    <row r="29">
      <c r="A29" s="53" t="inlineStr">
        <is>
          <t>COMB-14</t>
        </is>
      </c>
      <c r="B29" s="54" t="n"/>
      <c r="C29" s="54" t="n"/>
      <c r="D29" s="54" t="inlineStr">
        <is>
          <t>CISTERNA MÓVIL</t>
        </is>
      </c>
      <c r="E29" s="54" t="inlineStr">
        <is>
          <t>GASOIL</t>
        </is>
      </c>
      <c r="F29" s="54" t="n"/>
      <c r="G29" s="54" t="n"/>
      <c r="H29" s="55" t="str">
        <f>IF(AND(F29&lt;&gt;"",G29&lt;&gt;""),ROUND(PI()*(G29/2)^2*F29*1000,0),"")</f>
        <v/>
      </c>
      <c r="I29" s="55" t="str">
        <f>IF(AND(F29&lt;&gt;"",G29&lt;&gt;""),ROUND(G29*F29*10,0),"")</f>
        <v/>
      </c>
      <c r="J29" s="54" t="n"/>
      <c r="K29" s="54" t="n"/>
      <c r="L29" s="54" t="n"/>
      <c r="M29" s="54" t="n"/>
      <c r="N29" s="54" t="n"/>
      <c r="O29" s="54" t="n"/>
      <c r="P29" s="54" t="n"/>
      <c r="Q29" s="54" t="n"/>
      <c r="R29" s="54" t="n"/>
    </row>
    <row r="30">
      <c r="A30" s="53" t="inlineStr">
        <is>
          <t>COMB-15</t>
        </is>
      </c>
      <c r="B30" s="54" t="n"/>
      <c r="C30" s="54" t="n"/>
      <c r="D30" s="54" t="inlineStr">
        <is>
          <t>CISTERNA MÓVIL</t>
        </is>
      </c>
      <c r="E30" s="54" t="inlineStr">
        <is>
          <t>GASOIL</t>
        </is>
      </c>
      <c r="F30" s="54" t="n"/>
      <c r="G30" s="54" t="n"/>
      <c r="H30" s="55" t="str">
        <f>IF(AND(F30&lt;&gt;"",G30&lt;&gt;""),ROUND(PI()*(G30/2)^2*F30*1000,0),"")</f>
        <v/>
      </c>
      <c r="I30" s="55" t="str">
        <f>IF(AND(F30&lt;&gt;"",G30&lt;&gt;""),ROUND(G30*F30*10,0),"")</f>
        <v/>
      </c>
      <c r="J30" s="54" t="n"/>
      <c r="K30" s="54" t="n"/>
      <c r="L30" s="54" t="n"/>
      <c r="M30" s="54" t="n"/>
      <c r="N30" s="54" t="n"/>
      <c r="O30" s="54" t="n"/>
      <c r="P30" s="54" t="n"/>
      <c r="Q30" s="54" t="n"/>
      <c r="R30" s="54" t="n"/>
    </row>
    <row r="32">
      <c r="A32" s="35" t="inlineStr">
        <is>
          <t>REVISIÓN DE LA MEDICIÓN Y EL CÁLCULO DE VOLUMEN</t>
        </is>
      </c>
    </row>
    <row r="33" ht="46" customHeight="1">
      <c r="A33" s="56" t="inlineStr">
        <is>
          <t>QUÉ SE VERIFICÓ</t>
        </is>
      </c>
      <c r="B33" s="57" t="n"/>
      <c r="C33" s="57" t="n"/>
      <c r="D33" s="57" t="n"/>
      <c r="E33" s="43" t="inlineStr">
        <is>
          <t>Se recalcularon los 9 tanques con la fórmula del cilindro acostado y se compararon TODOS los puntos de las 9 tablas de aforo (0 a diámetro completo) contra la fórmula exacta del volumen parcial de un cilindro horizontal.</t>
        </is>
      </c>
      <c r="F33" s="58" t="n"/>
      <c r="G33" s="58" t="n"/>
      <c r="H33" s="58" t="n"/>
      <c r="I33" s="58" t="n"/>
      <c r="J33" s="58" t="n"/>
      <c r="K33" s="58" t="n"/>
      <c r="L33" s="58" t="n"/>
      <c r="M33" s="58" t="n"/>
      <c r="N33" s="58" t="n"/>
      <c r="O33" s="58" t="n"/>
      <c r="P33" s="58" t="n"/>
      <c r="Q33" s="58" t="n"/>
      <c r="R33" s="58" t="n"/>
    </row>
    <row r="34" ht="46" customHeight="1">
      <c r="A34" s="56" t="inlineStr">
        <is>
          <t>LA CAPACIDAD ESTÁ BIEN</t>
        </is>
      </c>
      <c r="B34" s="57" t="n"/>
      <c r="C34" s="57" t="n"/>
      <c r="D34" s="57" t="n"/>
      <c r="E34" s="43" t="inlineStr">
        <is>
          <t>Los 9 cálculos de capacidad son correctos: la fórmula Pi x radio² x longitud x 1000 está bien aplicada en todas las hojas. No hay que corregir ninguna capacidad (salvo el tanque de 60 mil de LA PRADERA, que nunca se midió).</t>
        </is>
      </c>
      <c r="F34" s="58" t="n"/>
      <c r="G34" s="58" t="n"/>
      <c r="H34" s="58" t="n"/>
      <c r="I34" s="58" t="n"/>
      <c r="J34" s="58" t="n"/>
      <c r="K34" s="58" t="n"/>
      <c r="L34" s="58" t="n"/>
      <c r="M34" s="58" t="n"/>
      <c r="N34" s="58" t="n"/>
      <c r="O34" s="58" t="n"/>
      <c r="P34" s="58" t="n"/>
      <c r="Q34" s="58" t="n"/>
      <c r="R34" s="58" t="n"/>
    </row>
    <row r="35" ht="46" customHeight="1">
      <c r="A35" s="56" t="inlineStr">
        <is>
          <t>LAS TABLAS DE AFORO ESTÁN BIEN, CON 2 ERRORES DE TIPEO</t>
        </is>
      </c>
      <c r="B35" s="57" t="n"/>
      <c r="C35" s="57" t="n"/>
      <c r="D35" s="57" t="n"/>
      <c r="E35" s="43" t="inlineStr">
        <is>
          <t>De casi 400 puntos revisados, solo 2 están mal: (1) EL BUFALO a 0,15 m dice 589 Lts y corresponden 873 Lts; (2) EL C1 (2) a 0,05 m dice 50 Lts y corresponden 105 Lts. Todo el resto coincide con la fórmula (diferencias de 1 a 5 litros por redondeo).</t>
        </is>
      </c>
      <c r="F35" s="58" t="n"/>
      <c r="G35" s="58" t="n"/>
      <c r="H35" s="58" t="n"/>
      <c r="I35" s="58" t="n"/>
      <c r="J35" s="58" t="n"/>
      <c r="K35" s="58" t="n"/>
      <c r="L35" s="58" t="n"/>
      <c r="M35" s="58" t="n"/>
      <c r="N35" s="58" t="n"/>
      <c r="O35" s="58" t="n"/>
      <c r="P35" s="58" t="n"/>
      <c r="Q35" s="58" t="n"/>
      <c r="R35" s="58" t="n"/>
    </row>
    <row r="36" ht="46" customHeight="1">
      <c r="A36" s="56" t="inlineStr">
        <is>
          <t>PROBLEMA DE UNIDADES</t>
        </is>
      </c>
      <c r="B36" s="57" t="n"/>
      <c r="C36" s="57" t="n"/>
      <c r="D36" s="57" t="n"/>
      <c r="E36" s="43" t="inlineStr">
        <is>
          <t>El encabezado de todas las hojas dice "Cm de varilla", pero solo LA UNION está realmente en centímetros (0 a 174). Las otras 8 están en METROS (0 a 2,28 / 2,50 / etc.). Es un error de rótulo, no de cálculo, pero si alguien lee la tabla creyendo que son centímetros se equivoca por 100 veces. Hay que unificar a centímetros antes de cargarlo al sistema.</t>
        </is>
      </c>
      <c r="F36" s="58" t="n"/>
      <c r="G36" s="58" t="n"/>
      <c r="H36" s="58" t="n"/>
      <c r="I36" s="58" t="n"/>
      <c r="J36" s="58" t="n"/>
      <c r="K36" s="58" t="n"/>
      <c r="L36" s="58" t="n"/>
      <c r="M36" s="58" t="n"/>
      <c r="N36" s="58" t="n"/>
      <c r="O36" s="58" t="n"/>
      <c r="P36" s="58" t="n"/>
      <c r="Q36" s="58" t="n"/>
      <c r="R36" s="58" t="n"/>
    </row>
    <row r="37" ht="46" customHeight="1">
      <c r="A37" s="56" t="inlineStr">
        <is>
          <t>HOJA DUPLICADA</t>
        </is>
      </c>
      <c r="B37" s="57" t="n"/>
      <c r="C37" s="57" t="n"/>
      <c r="D37" s="57" t="n"/>
      <c r="E37" s="43" t="inlineStr">
        <is>
          <t>La hoja "EL C1 (3) Tanquesito" tiene exactamente las mismas medidas y la misma tabla que "EL C1 (2)". Confirmado que EL C1 tiene 2 depósitos: o se borra esa hoja, o se mide el tercer tanque de verdad.</t>
        </is>
      </c>
      <c r="F37" s="58" t="n"/>
      <c r="G37" s="58" t="n"/>
      <c r="H37" s="58" t="n"/>
      <c r="I37" s="58" t="n"/>
      <c r="J37" s="58" t="n"/>
      <c r="K37" s="58" t="n"/>
      <c r="L37" s="58" t="n"/>
      <c r="M37" s="58" t="n"/>
      <c r="N37" s="58" t="n"/>
      <c r="O37" s="58" t="n"/>
      <c r="P37" s="58" t="n"/>
      <c r="Q37" s="58" t="n"/>
      <c r="R37" s="58" t="n"/>
    </row>
    <row r="38" ht="46" customHeight="1">
      <c r="A38" s="56" t="inlineStr">
        <is>
          <t>LO QUE LA FÓRMULA NO CONTEMPLA</t>
        </is>
      </c>
      <c r="B38" s="57" t="n"/>
      <c r="C38" s="57" t="n"/>
      <c r="D38" s="57" t="n"/>
      <c r="E38" s="43" t="inlineStr">
        <is>
          <t>La fórmula trata al tanque como un cilindro perfecto. En la realidad: (a) los cabezales curvos (abombados) suman litros que no están contados, normalmente entre 1% y 3% del total; (b) si el tanque no está perfectamente nivelado, la varilla lee distinto según de qué punta se mida; (c) el diámetro cargado parece ser el EXTERIOR, y el volumen real se calcula con el interior (la chapa resta unos litros). Para control de stock esto es aceptable, pero explica por qué la varilla y el cálculo nunca van a coincidir exactamente.</t>
        </is>
      </c>
      <c r="F38" s="58" t="n"/>
      <c r="G38" s="58" t="n"/>
      <c r="H38" s="58" t="n"/>
      <c r="I38" s="58" t="n"/>
      <c r="J38" s="58" t="n"/>
      <c r="K38" s="58" t="n"/>
      <c r="L38" s="58" t="n"/>
      <c r="M38" s="58" t="n"/>
      <c r="N38" s="58" t="n"/>
      <c r="O38" s="58" t="n"/>
      <c r="P38" s="58" t="n"/>
      <c r="Q38" s="58" t="n"/>
      <c r="R38" s="58" t="n"/>
    </row>
    <row r="39" ht="46" customHeight="1">
      <c r="A39" s="56" t="inlineStr">
        <is>
          <t>CUÁNTO ERROR METE LA VARILLA</t>
        </is>
      </c>
      <c r="B39" s="57" t="n"/>
      <c r="C39" s="57" t="n"/>
      <c r="D39" s="57" t="n"/>
      <c r="E39" s="43" t="inlineStr">
        <is>
          <t>La varilla está marcada cada 5 cm. En el punto más ancho del tanque, 1 cm de error de lectura vale: 83 Lts en LA UNION, 174 Lts en EL BUFALO, 152 Lts en EL WICHI. O sea que un salto de 5 cm en EL BUFALO son casi 870 litros. Es la razón por la que la varilla sirve para controlar, no para medir un despacho.</t>
        </is>
      </c>
      <c r="F39" s="58" t="n"/>
      <c r="G39" s="58" t="n"/>
      <c r="H39" s="58" t="n"/>
      <c r="I39" s="58" t="n"/>
      <c r="J39" s="58" t="n"/>
      <c r="K39" s="58" t="n"/>
      <c r="L39" s="58" t="n"/>
      <c r="M39" s="58" t="n"/>
      <c r="N39" s="58" t="n"/>
      <c r="O39" s="58" t="n"/>
      <c r="P39" s="58" t="n"/>
      <c r="Q39" s="58" t="n"/>
      <c r="R39" s="58" t="n"/>
    </row>
    <row r="40" ht="46" customHeight="1">
      <c r="A40" s="56" t="inlineStr">
        <is>
          <t>LO QUE FALTA PARA CERRAR ESTA PLANILLA</t>
        </is>
      </c>
      <c r="B40" s="57" t="n"/>
      <c r="C40" s="57" t="n"/>
      <c r="D40" s="57" t="n"/>
      <c r="E40" s="43" t="inlineStr">
        <is>
          <t>1) Medir el tanque de 60 mil de LA PRADERA. 2) Listar todas las cisternas móviles. 3) Definir, tanque por tanque, si tiene contador y si funciona. 4) Poner el nombre del despachante de cada depósito. 5) Confirmar los códigos de acceso.</t>
        </is>
      </c>
      <c r="F40" s="58" t="n"/>
      <c r="G40" s="58" t="n"/>
      <c r="H40" s="58" t="n"/>
      <c r="I40" s="58" t="n"/>
      <c r="J40" s="58" t="n"/>
      <c r="K40" s="58" t="n"/>
      <c r="L40" s="58" t="n"/>
      <c r="M40" s="58" t="n"/>
      <c r="N40" s="58" t="n"/>
      <c r="O40" s="58" t="n"/>
      <c r="P40" s="58" t="n"/>
      <c r="Q40" s="58" t="n"/>
      <c r="R40" s="58" t="n"/>
    </row>
    <row r="41" ht="46" customHeight="1">
      <c r="A41" s="56" t="inlineStr">
        <is>
          <t>LOS CAMPOS NO COINCIDEN CON LOS DE LA BALANZA</t>
        </is>
      </c>
      <c r="B41" s="57" t="n"/>
      <c r="C41" s="57" t="n"/>
      <c r="D41" s="57" t="n"/>
      <c r="E41" s="43" t="inlineStr">
        <is>
          <t>La app de balanza tiene código para: GENERAL, EL MATACO, LA PRADERA, EL C1, EL WICHI, LA JUANITA, QUIMILI y PACO-PASCUAL. Pero los tanques de este Excel están en: LA UNION, LA PURIFICADA, EL BUFALO, EL C1, EL WICHI y LA PRADERA. Consecuencia: LA UNION y EL BUFALO necesitan código nuevo (no existen en balanza), y EL MATACO y LA JUANITA tienen código pero no tienen tanque listado (¿no tienen depósito, o falta cargarlo?). QUIMILI pasa a llamarse LA PURIFICADA y PACO-PASCUAL se elimina, según la nota manuscrita.</t>
        </is>
      </c>
      <c r="F41" s="58" t="n"/>
      <c r="G41" s="58" t="n"/>
      <c r="H41" s="58" t="n"/>
      <c r="I41" s="58" t="n"/>
      <c r="J41" s="58" t="n"/>
      <c r="K41" s="58" t="n"/>
      <c r="L41" s="58" t="n"/>
      <c r="M41" s="58" t="n"/>
      <c r="N41" s="58" t="n"/>
      <c r="O41" s="58" t="n"/>
      <c r="P41" s="58" t="n"/>
      <c r="Q41" s="58" t="n"/>
      <c r="R41" s="58" t="n"/>
    </row>
    <row r="42" ht="46" customHeight="1">
      <c r="A42" s="56" t="inlineStr">
        <is>
          <t>CÓDIGOS DE ACCESO PROPUESTOS</t>
        </is>
      </c>
      <c r="B42" s="57" t="n"/>
      <c r="C42" s="57" t="n"/>
      <c r="D42" s="57" t="n"/>
      <c r="E42" s="43" t="inlineStr">
        <is>
          <t>Según la nota ("nombres del campo más el número 26"), la propuesta es: UNION26, PURIFICADA26, BUFALO26, C126, WICHI26, PRADERA26, más MATACO26 y JUANITA26 si esos campos tienen depósito, y GENERAL26 para el usuario general. Falta definir el segundo código de cada campo, el de "solo ver registros", que no puede cargar nada.</t>
        </is>
      </c>
      <c r="F42" s="58" t="n"/>
      <c r="G42" s="58" t="n"/>
      <c r="H42" s="58" t="n"/>
      <c r="I42" s="58" t="n"/>
      <c r="J42" s="58" t="n"/>
      <c r="K42" s="58" t="n"/>
      <c r="L42" s="58" t="n"/>
      <c r="M42" s="58" t="n"/>
      <c r="N42" s="58" t="n"/>
      <c r="O42" s="58" t="n"/>
      <c r="P42" s="58" t="n"/>
      <c r="Q42" s="58" t="n"/>
      <c r="R42" s="58" t="n"/>
    </row>
  </sheetData>
  <mergeCells count="30">
    <mergeCell ref="A7:R7"/>
    <mergeCell ref="A35:D35"/>
    <mergeCell ref="A38:D38"/>
    <mergeCell ref="E42:R42"/>
    <mergeCell ref="E33:R33"/>
    <mergeCell ref="A40:D40"/>
    <mergeCell ref="E39:R39"/>
    <mergeCell ref="A34:D34"/>
    <mergeCell ref="A2:R2"/>
    <mergeCell ref="E35:R35"/>
    <mergeCell ref="E38:R38"/>
    <mergeCell ref="A39:D39"/>
    <mergeCell ref="A32:R32"/>
    <mergeCell ref="A5:R5"/>
    <mergeCell ref="A23:R23"/>
    <mergeCell ref="A8:R8"/>
    <mergeCell ref="A36:D36"/>
    <mergeCell ref="E40:R40"/>
    <mergeCell ref="E34:R34"/>
    <mergeCell ref="E37:R37"/>
    <mergeCell ref="A41:D41"/>
    <mergeCell ref="A9:R9"/>
    <mergeCell ref="E36:R36"/>
    <mergeCell ref="A37:D37"/>
    <mergeCell ref="A24:R24"/>
    <mergeCell ref="A1:R1"/>
    <mergeCell ref="A33:D33"/>
    <mergeCell ref="E41:R41"/>
    <mergeCell ref="A42:D42"/>
    <mergeCell ref="A6:R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A1:E43"/>
  <sheetViews>
    <sheetView zoomScaleNormal="100" workbookViewId="0">
      <selection activeCell="C5" sqref="C5"/>
    </sheetView>
  </sheetViews>
  <sheetFormatPr baseColWidth="10" defaultRowHeight="15"/>
  <cols>
    <col width="20.140625" bestFit="1" customWidth="1" style="1" min="1" max="1"/>
    <col width="15.140625" bestFit="1" customWidth="1" style="1" min="2" max="2"/>
    <col width="25.7109375" bestFit="1" customWidth="1" style="1" min="3" max="3"/>
    <col width="11.42578125" customWidth="1" style="1" min="4" max="16384"/>
  </cols>
  <sheetData>
    <row r="1" ht="15" customHeight="1">
      <c r="A1" s="59" t="inlineStr">
        <is>
          <t>LA UNION</t>
        </is>
      </c>
      <c r="B1" s="60" t="n"/>
      <c r="C1" s="60" t="n"/>
      <c r="D1" s="60" t="n"/>
      <c r="E1" s="61" t="n"/>
    </row>
    <row r="2" ht="15.75" customHeight="1" thickBot="1">
      <c r="A2" s="62" t="n"/>
      <c r="B2" s="63" t="n"/>
      <c r="C2" s="63" t="n"/>
      <c r="D2" s="63" t="n"/>
      <c r="E2" s="64" t="n"/>
    </row>
    <row r="3">
      <c r="A3" s="2" t="inlineStr">
        <is>
          <t>Longitud:</t>
        </is>
      </c>
      <c r="B3" s="1" t="n">
        <v>4.78</v>
      </c>
    </row>
    <row r="4">
      <c r="A4" s="2" t="inlineStr">
        <is>
          <t>Diametro:</t>
        </is>
      </c>
      <c r="B4" s="1" t="n">
        <v>1.74</v>
      </c>
    </row>
    <row r="5" ht="21" customHeight="1">
      <c r="A5" s="2" t="inlineStr">
        <is>
          <t>Volumen del Tanque:</t>
        </is>
      </c>
      <c r="B5" s="1" t="inlineStr">
        <is>
          <t>((Pi*r2)*L)*1000</t>
        </is>
      </c>
      <c r="C5" s="10" t="inlineStr">
        <is>
          <t>11.366 Lts</t>
        </is>
      </c>
    </row>
    <row r="7" ht="18.75" customHeight="1">
      <c r="B7" s="9" t="inlineStr">
        <is>
          <t>Cm de varilla</t>
        </is>
      </c>
      <c r="C7" s="9" t="inlineStr">
        <is>
          <t>Lts de Gas Oil</t>
        </is>
      </c>
    </row>
    <row r="8" ht="14.25" customHeight="1">
      <c r="B8" s="3" t="n">
        <v>0</v>
      </c>
      <c r="C8" s="4" t="n">
        <v>0</v>
      </c>
    </row>
    <row r="9" ht="14.25" customHeight="1">
      <c r="B9" s="5" t="n">
        <v>5</v>
      </c>
      <c r="C9" s="6" t="n">
        <v>93</v>
      </c>
    </row>
    <row r="10" ht="14.25" customHeight="1">
      <c r="B10" s="5" t="n">
        <v>10</v>
      </c>
      <c r="C10" s="6" t="n">
        <v>261</v>
      </c>
    </row>
    <row r="11" ht="14.25" customHeight="1">
      <c r="B11" s="5" t="n">
        <v>15</v>
      </c>
      <c r="C11" s="6" t="n">
        <v>475</v>
      </c>
    </row>
    <row r="12" ht="14.25" customHeight="1">
      <c r="B12" s="5" t="n">
        <v>20</v>
      </c>
      <c r="C12" s="6" t="n">
        <v>725</v>
      </c>
    </row>
    <row r="13" ht="14.25" customHeight="1">
      <c r="B13" s="5" t="n">
        <v>25</v>
      </c>
      <c r="C13" s="6" t="n">
        <v>1004</v>
      </c>
    </row>
    <row r="14" ht="14.25" customHeight="1">
      <c r="B14" s="5" t="n">
        <v>30</v>
      </c>
      <c r="C14" s="6" t="n">
        <v>1307</v>
      </c>
    </row>
    <row r="15" ht="14.25" customHeight="1">
      <c r="B15" s="5" t="n">
        <v>35</v>
      </c>
      <c r="C15" s="6" t="n">
        <v>1631</v>
      </c>
    </row>
    <row r="16" ht="14.25" customHeight="1">
      <c r="B16" s="5" t="n">
        <v>40</v>
      </c>
      <c r="C16" s="6" t="n">
        <v>1973</v>
      </c>
    </row>
    <row r="17" ht="14.25" customHeight="1">
      <c r="B17" s="5" t="n">
        <v>45</v>
      </c>
      <c r="C17" s="6" t="n">
        <v>2330</v>
      </c>
    </row>
    <row r="18" ht="14.25" customHeight="1">
      <c r="B18" s="5" t="n">
        <v>50</v>
      </c>
      <c r="C18" s="6" t="n">
        <v>2701</v>
      </c>
    </row>
    <row r="19" ht="14.25" customHeight="1">
      <c r="B19" s="5" t="n">
        <v>55</v>
      </c>
      <c r="C19" s="6" t="n">
        <v>3082</v>
      </c>
    </row>
    <row r="20" ht="14.25" customHeight="1">
      <c r="B20" s="5" t="n">
        <v>60</v>
      </c>
      <c r="C20" s="6" t="n">
        <v>3474</v>
      </c>
    </row>
    <row r="21" ht="14.25" customHeight="1">
      <c r="B21" s="5" t="n">
        <v>65</v>
      </c>
      <c r="C21" s="6" t="n">
        <v>3873</v>
      </c>
    </row>
    <row r="22" ht="14.25" customHeight="1">
      <c r="B22" s="5" t="n">
        <v>70</v>
      </c>
      <c r="C22" s="6" t="n">
        <v>4278</v>
      </c>
    </row>
    <row r="23" ht="14.25" customHeight="1">
      <c r="B23" s="5" t="n">
        <v>75</v>
      </c>
      <c r="C23" s="6" t="n">
        <v>4688</v>
      </c>
    </row>
    <row r="24" ht="14.25" customHeight="1">
      <c r="B24" s="5" t="n">
        <v>80</v>
      </c>
      <c r="C24" s="6" t="n">
        <v>5101</v>
      </c>
    </row>
    <row r="25" ht="14.25" customHeight="1">
      <c r="B25" s="21" t="n">
        <v>85</v>
      </c>
      <c r="C25" s="22" t="n">
        <v>5516</v>
      </c>
    </row>
    <row r="26" ht="14.25" customHeight="1">
      <c r="B26" s="5" t="n">
        <v>90</v>
      </c>
      <c r="C26" s="6" t="n">
        <v>5932</v>
      </c>
    </row>
    <row r="27" ht="14.25" customHeight="1">
      <c r="B27" s="5" t="n">
        <v>95</v>
      </c>
      <c r="C27" s="6" t="n">
        <v>6347</v>
      </c>
    </row>
    <row r="28" ht="14.25" customHeight="1">
      <c r="B28" s="5" t="n">
        <v>100</v>
      </c>
      <c r="C28" s="6" t="n">
        <v>6760</v>
      </c>
    </row>
    <row r="29" ht="14.25" customHeight="1">
      <c r="B29" s="5" t="n">
        <v>105</v>
      </c>
      <c r="C29" s="6" t="n">
        <v>7169</v>
      </c>
    </row>
    <row r="30" ht="14.25" customHeight="1">
      <c r="B30" s="5" t="n">
        <v>110</v>
      </c>
      <c r="C30" s="6" t="n">
        <v>7573</v>
      </c>
    </row>
    <row r="31" ht="14.25" customHeight="1">
      <c r="B31" s="5" t="n">
        <v>115</v>
      </c>
      <c r="C31" s="12" t="n">
        <v>7971</v>
      </c>
    </row>
    <row r="32" ht="14.25" customHeight="1">
      <c r="B32" s="5" t="n">
        <v>120</v>
      </c>
      <c r="C32" s="6" t="n">
        <v>8360</v>
      </c>
    </row>
    <row r="33" ht="14.25" customHeight="1">
      <c r="B33" s="5" t="n">
        <v>125</v>
      </c>
      <c r="C33" s="4" t="n">
        <v>8740</v>
      </c>
    </row>
    <row r="34" ht="14.25" customHeight="1">
      <c r="B34" s="5" t="n">
        <v>130</v>
      </c>
      <c r="C34" s="6" t="n">
        <v>9108</v>
      </c>
    </row>
    <row r="35" ht="14.25" customHeight="1">
      <c r="B35" s="5" t="n">
        <v>135</v>
      </c>
      <c r="C35" s="6" t="n">
        <v>9462</v>
      </c>
    </row>
    <row r="36" ht="14.25" customHeight="1">
      <c r="B36" s="5" t="n">
        <v>140</v>
      </c>
      <c r="C36" s="6" t="n">
        <v>9800</v>
      </c>
    </row>
    <row r="37" ht="14.25" customHeight="1">
      <c r="B37" s="5" t="n">
        <v>145</v>
      </c>
      <c r="C37" s="6" t="n">
        <v>10121</v>
      </c>
    </row>
    <row r="38" ht="14.25" customHeight="1">
      <c r="B38" s="5" t="n">
        <v>150</v>
      </c>
      <c r="C38" s="6" t="n">
        <v>10419</v>
      </c>
    </row>
    <row r="39" ht="14.25" customHeight="1">
      <c r="B39" s="5" t="n">
        <v>155</v>
      </c>
      <c r="C39" s="6" t="n">
        <v>10693</v>
      </c>
    </row>
    <row r="40" ht="14.25" customHeight="1">
      <c r="B40" s="5" t="n">
        <v>160</v>
      </c>
      <c r="C40" s="6" t="n">
        <v>10936</v>
      </c>
    </row>
    <row r="41" ht="14.25" customHeight="1">
      <c r="B41" s="5" t="n">
        <v>165</v>
      </c>
      <c r="C41" s="6" t="n">
        <v>11142</v>
      </c>
    </row>
    <row r="42" ht="14.25" customHeight="1">
      <c r="B42" s="5" t="n">
        <v>170</v>
      </c>
      <c r="C42" s="6" t="n">
        <v>11299</v>
      </c>
    </row>
    <row r="43" ht="14.25" customHeight="1">
      <c r="B43" s="7" t="n">
        <v>174</v>
      </c>
      <c r="C43" s="8" t="n">
        <v>11366.23</v>
      </c>
    </row>
  </sheetData>
  <mergeCells count="1">
    <mergeCell ref="A1:E2"/>
  </mergeCells>
  <pageMargins left="0.7" right="0.7" top="0.29" bottom="0.17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rgb="FFFFC000"/>
    <outlinePr summaryBelow="1" summaryRight="1"/>
    <pageSetUpPr/>
  </sheetPr>
  <dimension ref="A1:E54"/>
  <sheetViews>
    <sheetView workbookViewId="0">
      <selection activeCell="D31" sqref="D31"/>
    </sheetView>
  </sheetViews>
  <sheetFormatPr baseColWidth="10" defaultRowHeight="15"/>
  <cols>
    <col width="20.140625" bestFit="1" customWidth="1" style="1" min="1" max="1"/>
    <col width="15.140625" bestFit="1" customWidth="1" style="1" min="2" max="2"/>
    <col width="25.7109375" bestFit="1" customWidth="1" style="1" min="3" max="3"/>
    <col width="11.42578125" customWidth="1" style="1" min="4" max="16384"/>
  </cols>
  <sheetData>
    <row r="1" ht="15" customHeight="1">
      <c r="A1" s="59" t="inlineStr">
        <is>
          <t>LA PURIFICADA - TANQUE GRANDE</t>
        </is>
      </c>
      <c r="B1" s="60" t="n"/>
      <c r="C1" s="60" t="n"/>
      <c r="D1" s="60" t="n"/>
      <c r="E1" s="61" t="n"/>
    </row>
    <row r="2" ht="15.75" customHeight="1" thickBot="1">
      <c r="A2" s="62" t="n"/>
      <c r="B2" s="63" t="n"/>
      <c r="C2" s="63" t="n"/>
      <c r="D2" s="63" t="n"/>
      <c r="E2" s="64" t="n"/>
    </row>
    <row r="3">
      <c r="A3" s="2" t="inlineStr">
        <is>
          <t>Longitud:</t>
        </is>
      </c>
      <c r="B3" s="1" t="n">
        <v>5.5</v>
      </c>
    </row>
    <row r="4">
      <c r="A4" s="2" t="inlineStr">
        <is>
          <t>Diametro:</t>
        </is>
      </c>
      <c r="B4" s="1" t="n">
        <v>2.28</v>
      </c>
    </row>
    <row r="5" ht="21" customHeight="1">
      <c r="A5" s="2" t="inlineStr">
        <is>
          <t>Volumen del Tanque:</t>
        </is>
      </c>
      <c r="B5" s="1" t="inlineStr">
        <is>
          <t>((Pi*r2)*L)*1000</t>
        </is>
      </c>
      <c r="C5" s="10" t="inlineStr">
        <is>
          <t>22.455 Lts</t>
        </is>
      </c>
    </row>
    <row r="6" ht="4.5" customHeight="1"/>
    <row r="7" ht="18.75" customHeight="1">
      <c r="B7" s="9" t="inlineStr">
        <is>
          <t>Cm de varilla</t>
        </is>
      </c>
      <c r="C7" s="9" t="inlineStr">
        <is>
          <t>Lts de Gas Oil</t>
        </is>
      </c>
    </row>
    <row r="8" ht="14.25" customHeight="1">
      <c r="B8" s="3" t="n">
        <v>0</v>
      </c>
      <c r="C8" s="4" t="n">
        <v>0</v>
      </c>
    </row>
    <row r="9" ht="14.25" customHeight="1">
      <c r="B9" s="5" t="n">
        <v>0.05</v>
      </c>
      <c r="C9" s="6" t="n">
        <v>123</v>
      </c>
    </row>
    <row r="10" ht="14.25" customHeight="1">
      <c r="B10" s="5" t="n">
        <v>0.1</v>
      </c>
      <c r="C10" s="6" t="n">
        <v>346</v>
      </c>
    </row>
    <row r="11" ht="14.25" customHeight="1">
      <c r="B11" s="5" t="n">
        <v>0.15</v>
      </c>
      <c r="C11" s="6" t="n">
        <v>630</v>
      </c>
    </row>
    <row r="12" ht="14.25" customHeight="1">
      <c r="B12" s="5" t="n">
        <v>0.2</v>
      </c>
      <c r="C12" s="6" t="n">
        <v>964</v>
      </c>
    </row>
    <row r="13" ht="14.25" customHeight="1">
      <c r="B13" s="5" t="n">
        <v>0.25</v>
      </c>
      <c r="C13" s="6" t="n">
        <v>1338</v>
      </c>
    </row>
    <row r="14" ht="14.25" customHeight="1">
      <c r="B14" s="5" t="n">
        <v>0.3</v>
      </c>
      <c r="C14" s="6" t="n">
        <v>1746</v>
      </c>
    </row>
    <row r="15" ht="14.25" customHeight="1">
      <c r="B15" s="5" t="n">
        <v>0.35</v>
      </c>
      <c r="C15" s="6" t="n">
        <v>2184</v>
      </c>
    </row>
    <row r="16" ht="14.25" customHeight="1">
      <c r="B16" s="5" t="n">
        <v>0.4</v>
      </c>
      <c r="C16" s="6" t="n">
        <v>2649</v>
      </c>
    </row>
    <row r="17" ht="14.25" customHeight="1">
      <c r="B17" s="5" t="n">
        <v>0.45</v>
      </c>
      <c r="C17" s="6" t="n">
        <v>3137</v>
      </c>
    </row>
    <row r="18" ht="14.25" customHeight="1">
      <c r="B18" s="5" t="n">
        <v>0.5</v>
      </c>
      <c r="C18" s="6" t="n">
        <v>3646</v>
      </c>
    </row>
    <row r="19" ht="14.25" customHeight="1">
      <c r="B19" s="5" t="n">
        <v>0.55</v>
      </c>
      <c r="C19" s="6" t="n">
        <v>4174</v>
      </c>
    </row>
    <row r="20" ht="14.25" customHeight="1">
      <c r="B20" s="5" t="n">
        <v>0.6</v>
      </c>
      <c r="C20" s="6" t="n">
        <v>4719</v>
      </c>
    </row>
    <row r="21" ht="14.25" customHeight="1">
      <c r="B21" s="5" t="n">
        <v>0.65</v>
      </c>
      <c r="C21" s="6" t="n">
        <v>5278</v>
      </c>
    </row>
    <row r="22" ht="14.25" customHeight="1">
      <c r="B22" s="5" t="n">
        <v>0.7</v>
      </c>
      <c r="C22" s="6" t="n">
        <v>5850</v>
      </c>
    </row>
    <row r="23" ht="14.25" customHeight="1">
      <c r="B23" s="5" t="n">
        <v>0.75</v>
      </c>
      <c r="C23" s="6" t="n">
        <v>6434</v>
      </c>
    </row>
    <row r="24" ht="14.25" customHeight="1">
      <c r="B24" s="5" t="n">
        <v>0.8</v>
      </c>
      <c r="C24" s="6" t="n">
        <v>7028</v>
      </c>
    </row>
    <row r="25" ht="14.25" customHeight="1">
      <c r="B25" s="5" t="n">
        <v>0.85</v>
      </c>
      <c r="C25" s="6" t="n">
        <v>7631</v>
      </c>
    </row>
    <row r="26" ht="14.25" customHeight="1">
      <c r="B26" s="5" t="n">
        <v>0.9</v>
      </c>
      <c r="C26" s="6" t="n">
        <v>8241</v>
      </c>
    </row>
    <row r="27" ht="14.25" customHeight="1">
      <c r="B27" s="5" t="n">
        <v>0.95</v>
      </c>
      <c r="C27" s="6" t="n">
        <v>8856</v>
      </c>
    </row>
    <row r="28" ht="14.25" customHeight="1">
      <c r="B28" s="5" t="n">
        <v>1</v>
      </c>
      <c r="C28" s="6" t="n">
        <v>9477</v>
      </c>
    </row>
    <row r="29" ht="14.25" customHeight="1">
      <c r="B29" s="5" t="n">
        <v>1.05</v>
      </c>
      <c r="C29" s="6" t="n">
        <v>10100</v>
      </c>
    </row>
    <row r="30" ht="14.25" customHeight="1">
      <c r="B30" s="15" t="n">
        <v>1.1</v>
      </c>
      <c r="C30" s="6" t="n">
        <v>10726</v>
      </c>
    </row>
    <row r="31" ht="14.25" customHeight="1">
      <c r="B31" s="15" t="n">
        <v>1.15</v>
      </c>
      <c r="C31" s="6" t="n">
        <v>11353</v>
      </c>
    </row>
    <row r="32" ht="14.25" customHeight="1">
      <c r="B32" s="18" t="n">
        <v>1.2</v>
      </c>
      <c r="C32" s="12" t="n">
        <v>11980</v>
      </c>
    </row>
    <row r="33" ht="14.25" customHeight="1">
      <c r="B33" s="17" t="n">
        <v>1.25</v>
      </c>
      <c r="C33" s="14" t="n">
        <v>12605</v>
      </c>
    </row>
    <row r="34" ht="14.25" customHeight="1">
      <c r="B34" s="3" t="n">
        <v>1.3</v>
      </c>
      <c r="C34" s="4" t="n">
        <v>13228</v>
      </c>
    </row>
    <row r="35" ht="14.25" customHeight="1">
      <c r="B35" s="5" t="n">
        <v>1.35</v>
      </c>
      <c r="C35" s="6" t="n">
        <v>13846</v>
      </c>
    </row>
    <row r="36" ht="14.25" customHeight="1">
      <c r="B36" s="5" t="n">
        <v>1.4</v>
      </c>
      <c r="C36" s="6" t="n">
        <v>14460</v>
      </c>
    </row>
    <row r="37" ht="14.25" customHeight="1">
      <c r="B37" s="5" t="n">
        <v>1.45</v>
      </c>
      <c r="C37" s="6" t="n">
        <v>15067</v>
      </c>
    </row>
    <row r="38" ht="14.25" customHeight="1">
      <c r="B38" s="5" t="n">
        <v>1.5</v>
      </c>
      <c r="C38" s="6" t="n">
        <v>15666</v>
      </c>
    </row>
    <row r="39" ht="14.25" customHeight="1">
      <c r="B39" s="5" t="n">
        <v>1.55</v>
      </c>
      <c r="C39" s="6" t="n">
        <v>16256</v>
      </c>
    </row>
    <row r="40" ht="14.25" customHeight="1">
      <c r="B40" s="5" t="n">
        <v>1.6</v>
      </c>
      <c r="C40" s="6" t="n">
        <v>16836</v>
      </c>
    </row>
    <row r="41" ht="14.25" customHeight="1">
      <c r="B41" s="5" t="n">
        <v>1.65</v>
      </c>
      <c r="C41" s="6" t="n">
        <v>17403</v>
      </c>
    </row>
    <row r="42" ht="14.25" customHeight="1">
      <c r="B42" s="5" t="n">
        <v>1.7</v>
      </c>
      <c r="C42" s="6" t="n">
        <v>17956</v>
      </c>
    </row>
    <row r="43" ht="14.25" customHeight="1">
      <c r="B43" s="5" t="n">
        <v>1.75</v>
      </c>
      <c r="C43" s="6" t="n">
        <v>18495</v>
      </c>
    </row>
    <row r="44" ht="14.25" customHeight="1">
      <c r="B44" s="5" t="n">
        <v>1.8</v>
      </c>
      <c r="C44" s="6" t="n">
        <v>19015</v>
      </c>
    </row>
    <row r="45" ht="14.25" customHeight="1">
      <c r="B45" s="5" t="n">
        <v>1.85</v>
      </c>
      <c r="C45" s="6" t="n">
        <v>19516</v>
      </c>
    </row>
    <row r="46" ht="14.25" customHeight="1">
      <c r="B46" s="5" t="n">
        <v>1.9</v>
      </c>
      <c r="C46" s="6" t="n">
        <v>19995</v>
      </c>
    </row>
    <row r="47" ht="14.25" customHeight="1">
      <c r="B47" s="5" t="n">
        <v>1.95</v>
      </c>
      <c r="C47" s="6" t="n">
        <v>20450</v>
      </c>
    </row>
    <row r="48" ht="14.25" customHeight="1">
      <c r="B48" s="5" t="n">
        <v>2</v>
      </c>
      <c r="C48" s="6" t="n">
        <v>20877</v>
      </c>
    </row>
    <row r="49" ht="14.25" customHeight="1">
      <c r="B49" s="5" t="n">
        <v>2.05</v>
      </c>
      <c r="C49" s="6" t="n">
        <v>21272</v>
      </c>
    </row>
    <row r="50" ht="14.25" customHeight="1">
      <c r="B50" s="5" t="n">
        <v>2.1</v>
      </c>
      <c r="C50" s="6" t="n">
        <v>21630</v>
      </c>
    </row>
    <row r="51" ht="14.25" customHeight="1">
      <c r="B51" s="5" t="n">
        <v>2.15</v>
      </c>
      <c r="C51" s="6" t="n">
        <v>21945</v>
      </c>
    </row>
    <row r="52" ht="14.25" customHeight="1">
      <c r="B52" s="5" t="n">
        <v>2.2</v>
      </c>
      <c r="C52" s="6" t="n">
        <v>22208</v>
      </c>
    </row>
    <row r="53" ht="14.25" customHeight="1">
      <c r="B53" s="5" t="n">
        <v>2.25</v>
      </c>
      <c r="C53" s="6" t="n">
        <v>22398</v>
      </c>
    </row>
    <row r="54" ht="14.25" customHeight="1">
      <c r="B54" s="7" t="n">
        <v>2.28</v>
      </c>
      <c r="C54" s="8" t="n">
        <v>22455</v>
      </c>
    </row>
  </sheetData>
  <mergeCells count="1">
    <mergeCell ref="A1:E2"/>
  </mergeCells>
  <pageMargins left="0.7" right="0.7" top="0.29" bottom="0.17" header="0.3" footer="0.3"/>
  <pageSetup orientation="portrait" paperSize="9"/>
</worksheet>
</file>

<file path=xl/worksheets/sheet4.xml><?xml version="1.0" encoding="utf-8"?>
<worksheet xmlns="http://schemas.openxmlformats.org/spreadsheetml/2006/main">
  <sheetPr>
    <tabColor rgb="FFFFC000"/>
    <outlinePr summaryBelow="1" summaryRight="1"/>
    <pageSetUpPr/>
  </sheetPr>
  <dimension ref="A1:E38"/>
  <sheetViews>
    <sheetView workbookViewId="0">
      <selection activeCell="C5" sqref="C5"/>
    </sheetView>
  </sheetViews>
  <sheetFormatPr baseColWidth="10" defaultRowHeight="15"/>
  <cols>
    <col width="20.140625" bestFit="1" customWidth="1" style="1" min="1" max="1"/>
    <col width="15.140625" bestFit="1" customWidth="1" style="1" min="2" max="2"/>
    <col width="25.7109375" bestFit="1" customWidth="1" style="1" min="3" max="3"/>
    <col width="11.42578125" customWidth="1" style="1" min="4" max="16384"/>
  </cols>
  <sheetData>
    <row r="1" ht="15" customHeight="1">
      <c r="A1" s="59" t="inlineStr">
        <is>
          <t>LA PURIFICADA TANQUE CHICO</t>
        </is>
      </c>
      <c r="B1" s="60" t="n"/>
      <c r="C1" s="60" t="n"/>
      <c r="D1" s="60" t="n"/>
      <c r="E1" s="61" t="n"/>
    </row>
    <row r="2" ht="15.75" customHeight="1" thickBot="1">
      <c r="A2" s="62" t="n"/>
      <c r="B2" s="63" t="n"/>
      <c r="C2" s="63" t="n"/>
      <c r="D2" s="63" t="n"/>
      <c r="E2" s="64" t="n"/>
    </row>
    <row r="3">
      <c r="A3" s="2" t="inlineStr">
        <is>
          <t>Longitud:</t>
        </is>
      </c>
      <c r="B3" s="1" t="n">
        <v>3.15</v>
      </c>
    </row>
    <row r="4">
      <c r="A4" s="2" t="inlineStr">
        <is>
          <t>Diametro:</t>
        </is>
      </c>
      <c r="B4" s="1" t="n">
        <v>1.48</v>
      </c>
    </row>
    <row r="5" ht="21" customHeight="1">
      <c r="A5" s="2" t="inlineStr">
        <is>
          <t>Volumen del Tanque:</t>
        </is>
      </c>
      <c r="B5" s="1" t="inlineStr">
        <is>
          <t>((Pi*r2)*L)*1000</t>
        </is>
      </c>
      <c r="C5" s="10" t="inlineStr">
        <is>
          <t>5.420 Lts</t>
        </is>
      </c>
    </row>
    <row r="6" ht="4.5" customHeight="1"/>
    <row r="7" ht="18.75" customHeight="1">
      <c r="B7" s="9" t="inlineStr">
        <is>
          <t>Cm de varilla</t>
        </is>
      </c>
      <c r="C7" s="9" t="inlineStr">
        <is>
          <t>Lts de Gas Oil</t>
        </is>
      </c>
    </row>
    <row r="8" ht="14.25" customHeight="1">
      <c r="B8" s="3" t="n">
        <v>0</v>
      </c>
      <c r="C8" s="4" t="n">
        <v>0</v>
      </c>
    </row>
    <row r="9" ht="14.25" customHeight="1">
      <c r="B9" s="5" t="n">
        <v>0.05</v>
      </c>
      <c r="C9" s="6" t="n">
        <v>60</v>
      </c>
    </row>
    <row r="10" ht="14.25" customHeight="1">
      <c r="B10" s="5" t="n">
        <v>0.1</v>
      </c>
      <c r="C10" s="6" t="n">
        <v>158</v>
      </c>
    </row>
    <row r="11" ht="14.25" customHeight="1">
      <c r="B11" s="5" t="n">
        <v>0.15</v>
      </c>
      <c r="C11" s="6" t="n">
        <v>287</v>
      </c>
    </row>
    <row r="12" ht="14.25" customHeight="1">
      <c r="B12" s="5" t="n">
        <v>0.2</v>
      </c>
      <c r="C12" s="6" t="n">
        <v>438</v>
      </c>
    </row>
    <row r="13" ht="14.25" customHeight="1">
      <c r="B13" s="5" t="n">
        <v>0.25</v>
      </c>
      <c r="C13" s="6" t="n">
        <v>605</v>
      </c>
    </row>
    <row r="14" ht="14.25" customHeight="1">
      <c r="B14" s="5" t="n">
        <v>0.3</v>
      </c>
      <c r="C14" s="6" t="n">
        <v>786</v>
      </c>
    </row>
    <row r="15" ht="14.25" customHeight="1">
      <c r="B15" s="5" t="n">
        <v>0.35</v>
      </c>
      <c r="C15" s="6" t="n">
        <v>979</v>
      </c>
    </row>
    <row r="16" ht="14.25" customHeight="1">
      <c r="B16" s="5" t="n">
        <v>0.4</v>
      </c>
      <c r="C16" s="6" t="n">
        <v>1182</v>
      </c>
    </row>
    <row r="17" ht="14.25" customHeight="1">
      <c r="B17" s="5" t="n">
        <v>0.45</v>
      </c>
      <c r="C17" s="6" t="n">
        <v>1392</v>
      </c>
    </row>
    <row r="18" ht="14.25" customHeight="1">
      <c r="B18" s="5" t="n">
        <v>0.5</v>
      </c>
      <c r="C18" s="6" t="n">
        <v>1610</v>
      </c>
    </row>
    <row r="19" ht="14.25" customHeight="1">
      <c r="B19" s="5" t="n">
        <v>0.55</v>
      </c>
      <c r="C19" s="6" t="n">
        <v>1833</v>
      </c>
    </row>
    <row r="20" ht="14.25" customHeight="1">
      <c r="B20" s="5" t="n">
        <v>0.6</v>
      </c>
      <c r="C20" s="6" t="n">
        <v>2060</v>
      </c>
    </row>
    <row r="21" ht="14.25" customHeight="1">
      <c r="B21" s="5" t="n">
        <v>0.65</v>
      </c>
      <c r="C21" s="6" t="n">
        <v>2290</v>
      </c>
    </row>
    <row r="22" ht="14.25" customHeight="1">
      <c r="B22" s="5" t="n">
        <v>0.7</v>
      </c>
      <c r="C22" s="6" t="n">
        <v>2523</v>
      </c>
    </row>
    <row r="23" ht="14.25" customHeight="1">
      <c r="B23" s="5" t="n">
        <v>0.75</v>
      </c>
      <c r="C23" s="6" t="n">
        <v>2756</v>
      </c>
    </row>
    <row r="24" ht="14.25" customHeight="1">
      <c r="B24" s="5" t="n">
        <v>0.8</v>
      </c>
      <c r="C24" s="6" t="n">
        <v>2988</v>
      </c>
    </row>
    <row r="25" ht="14.25" customHeight="1">
      <c r="B25" s="5" t="n">
        <v>0.85</v>
      </c>
      <c r="C25" s="6" t="n">
        <v>3220</v>
      </c>
    </row>
    <row r="26" ht="14.25" customHeight="1">
      <c r="B26" s="5" t="n">
        <v>0.9</v>
      </c>
      <c r="C26" s="6" t="n">
        <v>3449</v>
      </c>
    </row>
    <row r="27" ht="14.25" customHeight="1">
      <c r="B27" s="5" t="n">
        <v>0.95</v>
      </c>
      <c r="C27" s="6" t="n">
        <v>3675</v>
      </c>
    </row>
    <row r="28" ht="14.25" customHeight="1">
      <c r="B28" s="5" t="n">
        <v>1</v>
      </c>
      <c r="C28" s="6" t="n">
        <v>3896</v>
      </c>
    </row>
    <row r="29" ht="14.25" customHeight="1">
      <c r="B29" s="5" t="n">
        <v>1.05</v>
      </c>
      <c r="C29" s="6" t="n">
        <v>4111</v>
      </c>
    </row>
    <row r="30" ht="14.25" customHeight="1">
      <c r="B30" s="15" t="n">
        <v>1.1</v>
      </c>
      <c r="C30" s="6" t="n">
        <v>4319</v>
      </c>
    </row>
    <row r="31" ht="14.25" customHeight="1">
      <c r="B31" s="15" t="n">
        <v>1.15</v>
      </c>
      <c r="C31" s="6" t="n">
        <v>4518</v>
      </c>
    </row>
    <row r="32" ht="14.25" customHeight="1">
      <c r="B32" s="15" t="n">
        <v>1.2</v>
      </c>
      <c r="C32" s="6" t="n">
        <v>4706</v>
      </c>
    </row>
    <row r="33" ht="14.25" customHeight="1">
      <c r="B33" s="15" t="n">
        <v>1.25</v>
      </c>
      <c r="C33" s="6" t="n">
        <v>4882</v>
      </c>
    </row>
    <row r="34" ht="14.25" customHeight="1">
      <c r="B34" s="5" t="n">
        <v>1.3</v>
      </c>
      <c r="C34" s="6" t="n">
        <v>5043</v>
      </c>
    </row>
    <row r="35" ht="14.25" customHeight="1">
      <c r="B35" s="5" t="n">
        <v>1.35</v>
      </c>
      <c r="C35" s="6" t="n">
        <v>5185</v>
      </c>
    </row>
    <row r="36" ht="14.25" customHeight="1">
      <c r="B36" s="5" t="n">
        <v>1.4</v>
      </c>
      <c r="C36" s="6" t="n">
        <v>5305</v>
      </c>
    </row>
    <row r="37" ht="14.25" customHeight="1">
      <c r="B37" s="5" t="n">
        <v>1.45</v>
      </c>
      <c r="C37" s="6" t="n">
        <v>5392</v>
      </c>
    </row>
    <row r="38" ht="14.25" customHeight="1">
      <c r="B38" s="7" t="n">
        <v>1.48</v>
      </c>
      <c r="C38" s="8" t="n">
        <v>5420</v>
      </c>
    </row>
  </sheetData>
  <mergeCells count="1">
    <mergeCell ref="A1:E2"/>
  </mergeCells>
  <pageMargins left="0.7" right="0.7" top="0.29" bottom="0.17" header="0.3" footer="0.3"/>
  <pageSetup orientation="portrait" paperSize="9"/>
</worksheet>
</file>

<file path=xl/worksheets/sheet5.xml><?xml version="1.0" encoding="utf-8"?>
<worksheet xmlns="http://schemas.openxmlformats.org/spreadsheetml/2006/main">
  <sheetPr>
    <tabColor rgb="FFFFC000"/>
    <outlinePr summaryBelow="1" summaryRight="1"/>
    <pageSetUpPr/>
  </sheetPr>
  <dimension ref="A1:E54"/>
  <sheetViews>
    <sheetView workbookViewId="0">
      <selection activeCell="C5" sqref="C5"/>
    </sheetView>
  </sheetViews>
  <sheetFormatPr baseColWidth="10" defaultRowHeight="15"/>
  <cols>
    <col width="20.140625" bestFit="1" customWidth="1" style="1" min="1" max="1"/>
    <col width="15.140625" bestFit="1" customWidth="1" style="1" min="2" max="2"/>
    <col width="25.7109375" bestFit="1" customWidth="1" style="1" min="3" max="3"/>
    <col width="11.42578125" customWidth="1" style="1" min="4" max="16384"/>
  </cols>
  <sheetData>
    <row r="1" ht="15" customHeight="1">
      <c r="A1" s="59" t="inlineStr">
        <is>
          <t>EL BUFALO</t>
        </is>
      </c>
      <c r="B1" s="60" t="n"/>
      <c r="C1" s="60" t="n"/>
      <c r="D1" s="60" t="n"/>
      <c r="E1" s="61" t="n"/>
    </row>
    <row r="2" ht="15.75" customHeight="1" thickBot="1">
      <c r="A2" s="62" t="n"/>
      <c r="B2" s="63" t="n"/>
      <c r="C2" s="63" t="n"/>
      <c r="D2" s="63" t="n"/>
      <c r="E2" s="64" t="n"/>
    </row>
    <row r="3">
      <c r="A3" s="2" t="inlineStr">
        <is>
          <t>Longitud:</t>
        </is>
      </c>
      <c r="B3" s="1" t="n">
        <v>7.62</v>
      </c>
    </row>
    <row r="4">
      <c r="A4" s="2" t="inlineStr">
        <is>
          <t>Diametro:</t>
        </is>
      </c>
      <c r="B4" s="1" t="n">
        <v>2.28</v>
      </c>
    </row>
    <row r="5" ht="21" customHeight="1">
      <c r="A5" s="2" t="inlineStr">
        <is>
          <t>Volumen del Tanque:</t>
        </is>
      </c>
      <c r="B5" s="1" t="inlineStr">
        <is>
          <t>((Pi*r2)*L)*1000</t>
        </is>
      </c>
      <c r="C5" s="10" t="inlineStr">
        <is>
          <t>31.111 Lts</t>
        </is>
      </c>
    </row>
    <row r="7" ht="18.75" customHeight="1">
      <c r="B7" s="9" t="inlineStr">
        <is>
          <t>Cm de varilla</t>
        </is>
      </c>
      <c r="C7" s="9" t="inlineStr">
        <is>
          <t>Lts de Gas Oil</t>
        </is>
      </c>
    </row>
    <row r="8" ht="15" customHeight="1">
      <c r="B8" s="3" t="n">
        <v>0</v>
      </c>
      <c r="C8" s="4" t="n">
        <v>0</v>
      </c>
    </row>
    <row r="9" ht="15" customHeight="1">
      <c r="B9" s="5" t="n">
        <v>0.05</v>
      </c>
      <c r="C9" s="6" t="n">
        <v>170</v>
      </c>
    </row>
    <row r="10" ht="15" customHeight="1">
      <c r="B10" s="5" t="n">
        <v>0.1</v>
      </c>
      <c r="C10" s="6" t="n">
        <v>479</v>
      </c>
    </row>
    <row r="11" ht="15" customHeight="1">
      <c r="B11" s="5" t="n">
        <v>0.15</v>
      </c>
      <c r="C11" s="6" t="n">
        <v>589</v>
      </c>
    </row>
    <row r="12" ht="15" customHeight="1">
      <c r="B12" s="5" t="n">
        <v>0.2</v>
      </c>
      <c r="C12" s="6" t="n">
        <v>1335</v>
      </c>
    </row>
    <row r="13" ht="15" customHeight="1">
      <c r="B13" s="5" t="n">
        <v>0.25</v>
      </c>
      <c r="C13" s="6" t="n">
        <v>1853</v>
      </c>
    </row>
    <row r="14" ht="15" customHeight="1">
      <c r="B14" s="5" t="n">
        <v>0.3</v>
      </c>
      <c r="C14" s="6" t="n">
        <v>2419</v>
      </c>
    </row>
    <row r="15" ht="15" customHeight="1">
      <c r="B15" s="5" t="n">
        <v>0.35</v>
      </c>
      <c r="C15" s="6" t="n">
        <v>3026</v>
      </c>
    </row>
    <row r="16" ht="15" customHeight="1">
      <c r="B16" s="5" t="n">
        <v>0.4</v>
      </c>
      <c r="C16" s="6" t="n">
        <v>3670</v>
      </c>
    </row>
    <row r="17" ht="15" customHeight="1">
      <c r="B17" s="5" t="n">
        <v>0.45</v>
      </c>
      <c r="C17" s="6" t="n">
        <v>4346</v>
      </c>
    </row>
    <row r="18" ht="15" customHeight="1">
      <c r="B18" s="5" t="n">
        <v>0.5</v>
      </c>
      <c r="C18" s="6" t="n">
        <v>5052</v>
      </c>
    </row>
    <row r="19" ht="15" customHeight="1">
      <c r="B19" s="5" t="n">
        <v>0.55</v>
      </c>
      <c r="C19" s="6" t="n">
        <v>5783</v>
      </c>
    </row>
    <row r="20" ht="15" customHeight="1">
      <c r="B20" s="5" t="n">
        <v>0.6</v>
      </c>
      <c r="C20" s="6" t="n">
        <v>6537</v>
      </c>
    </row>
    <row r="21" ht="15" customHeight="1">
      <c r="B21" s="5" t="n">
        <v>0.65</v>
      </c>
      <c r="C21" s="6" t="n">
        <v>7312</v>
      </c>
    </row>
    <row r="22" ht="15" customHeight="1">
      <c r="B22" s="5" t="n">
        <v>0.7</v>
      </c>
      <c r="C22" s="6" t="n">
        <v>8105</v>
      </c>
    </row>
    <row r="23" ht="15" customHeight="1">
      <c r="B23" s="5" t="n">
        <v>0.75</v>
      </c>
      <c r="C23" s="6" t="n">
        <v>8914</v>
      </c>
    </row>
    <row r="24" ht="15" customHeight="1">
      <c r="B24" s="5" t="n">
        <v>0.8</v>
      </c>
      <c r="C24" s="6" t="n">
        <v>9737</v>
      </c>
    </row>
    <row r="25" ht="15" customHeight="1">
      <c r="B25" s="5" t="n">
        <v>0.85</v>
      </c>
      <c r="C25" s="6" t="n">
        <v>10572</v>
      </c>
    </row>
    <row r="26" ht="15" customHeight="1">
      <c r="B26" s="5" t="n">
        <v>0.9</v>
      </c>
      <c r="C26" s="6" t="n">
        <v>11417</v>
      </c>
    </row>
    <row r="27" ht="15" customHeight="1">
      <c r="B27" s="5" t="n">
        <v>0.95</v>
      </c>
      <c r="C27" s="6" t="n">
        <v>12270</v>
      </c>
    </row>
    <row r="28" ht="15" customHeight="1">
      <c r="B28" s="5" t="n">
        <v>1</v>
      </c>
      <c r="C28" s="6" t="n">
        <v>13129</v>
      </c>
    </row>
    <row r="29" ht="15" customHeight="1">
      <c r="B29" s="5" t="n">
        <v>1.05</v>
      </c>
      <c r="C29" s="6" t="n">
        <v>13994</v>
      </c>
    </row>
    <row r="30" ht="15" customHeight="1">
      <c r="B30" s="11" t="n">
        <v>1.1</v>
      </c>
      <c r="C30" s="12" t="n">
        <v>14861</v>
      </c>
    </row>
    <row r="31" ht="15" customHeight="1">
      <c r="B31" s="13" t="n">
        <v>1.15</v>
      </c>
      <c r="C31" s="14" t="n">
        <v>15729</v>
      </c>
    </row>
    <row r="32" ht="15" customHeight="1">
      <c r="B32" s="3" t="n">
        <v>1.2</v>
      </c>
      <c r="C32" s="4" t="n">
        <v>16597</v>
      </c>
    </row>
    <row r="33" ht="15" customHeight="1">
      <c r="B33" s="5" t="n">
        <v>1.25</v>
      </c>
      <c r="C33" s="6" t="n">
        <v>17464</v>
      </c>
    </row>
    <row r="34" ht="15" customHeight="1">
      <c r="B34" s="5" t="n">
        <v>1.3</v>
      </c>
      <c r="C34" s="6" t="n">
        <v>18326</v>
      </c>
    </row>
    <row r="35" ht="15" customHeight="1">
      <c r="B35" s="5" t="n">
        <v>1.35</v>
      </c>
      <c r="C35" s="6" t="n">
        <v>19183</v>
      </c>
    </row>
    <row r="36" ht="15" customHeight="1">
      <c r="B36" s="5" t="n">
        <v>1.4</v>
      </c>
      <c r="C36" s="6" t="n">
        <v>20033</v>
      </c>
    </row>
    <row r="37" ht="15" customHeight="1">
      <c r="B37" s="5" t="n">
        <v>1.45</v>
      </c>
      <c r="C37" s="6" t="n">
        <v>20874</v>
      </c>
    </row>
    <row r="38" ht="15" customHeight="1">
      <c r="B38" s="5" t="n">
        <v>1.5</v>
      </c>
      <c r="C38" s="6" t="n">
        <v>21704</v>
      </c>
    </row>
    <row r="39" ht="15" customHeight="1">
      <c r="B39" s="5" t="n">
        <v>1.55</v>
      </c>
      <c r="C39" s="6" t="n">
        <v>22522</v>
      </c>
    </row>
    <row r="40" ht="15" customHeight="1">
      <c r="B40" s="5" t="n">
        <v>1.6</v>
      </c>
      <c r="C40" s="6" t="n">
        <v>23325</v>
      </c>
    </row>
    <row r="41" ht="15" customHeight="1">
      <c r="B41" s="5" t="n">
        <v>1.65</v>
      </c>
      <c r="C41" s="6" t="n">
        <v>24111</v>
      </c>
    </row>
    <row r="42" ht="15" customHeight="1">
      <c r="B42" s="5" t="n">
        <v>1.7</v>
      </c>
      <c r="C42" s="6" t="n">
        <v>24878</v>
      </c>
    </row>
    <row r="43" ht="15" customHeight="1">
      <c r="B43" s="5" t="n">
        <v>1.75</v>
      </c>
      <c r="C43" s="6" t="n">
        <v>25623</v>
      </c>
    </row>
    <row r="44" ht="15" customHeight="1">
      <c r="B44" s="5" t="n">
        <v>1.8</v>
      </c>
      <c r="C44" s="6" t="n">
        <v>26345</v>
      </c>
    </row>
    <row r="45" ht="15" customHeight="1">
      <c r="B45" s="5" t="n">
        <v>1.85</v>
      </c>
      <c r="C45" s="6" t="n">
        <v>27039</v>
      </c>
    </row>
    <row r="46" ht="15" customHeight="1">
      <c r="B46" s="5" t="n">
        <v>1.9</v>
      </c>
      <c r="C46" s="6" t="n">
        <v>27703</v>
      </c>
    </row>
    <row r="47" ht="15" customHeight="1">
      <c r="B47" s="5" t="n">
        <v>1.95</v>
      </c>
      <c r="C47" s="6" t="n">
        <v>28333</v>
      </c>
    </row>
    <row r="48" ht="15" customHeight="1">
      <c r="B48" s="5" t="n">
        <v>2</v>
      </c>
      <c r="C48" s="6" t="n">
        <v>28924</v>
      </c>
    </row>
    <row r="49" ht="15" customHeight="1">
      <c r="B49" s="5" t="n">
        <v>2.05</v>
      </c>
      <c r="C49" s="6" t="n">
        <v>29471</v>
      </c>
    </row>
    <row r="50" ht="15" customHeight="1">
      <c r="B50" s="5" t="n">
        <v>2.1</v>
      </c>
      <c r="C50" s="6" t="n">
        <v>29968</v>
      </c>
    </row>
    <row r="51" ht="15" customHeight="1">
      <c r="B51" s="5" t="n">
        <v>2.15</v>
      </c>
      <c r="C51" s="6" t="n">
        <v>30404</v>
      </c>
    </row>
    <row r="52" ht="15" customHeight="1">
      <c r="B52" s="5" t="n">
        <v>2.2</v>
      </c>
      <c r="C52" s="6" t="n">
        <v>30768</v>
      </c>
    </row>
    <row r="53" ht="15" customHeight="1">
      <c r="B53" s="5" t="n">
        <v>2.25</v>
      </c>
      <c r="C53" s="6" t="n">
        <v>31032</v>
      </c>
    </row>
    <row r="54" ht="15" customHeight="1">
      <c r="B54" s="7" t="n">
        <v>2.28</v>
      </c>
      <c r="C54" s="8" t="n">
        <v>31111</v>
      </c>
    </row>
  </sheetData>
  <mergeCells count="1">
    <mergeCell ref="A1:E2"/>
  </mergeCells>
  <pageMargins left="0.7" right="0.7" top="0.29" bottom="0.17" header="0.3" footer="0.3"/>
  <pageSetup orientation="portrait" paperSize="9"/>
</worksheet>
</file>

<file path=xl/worksheets/sheet6.xml><?xml version="1.0" encoding="utf-8"?>
<worksheet xmlns="http://schemas.openxmlformats.org/spreadsheetml/2006/main">
  <sheetPr>
    <tabColor rgb="FFFFC000"/>
    <outlinePr summaryBelow="1" summaryRight="1"/>
    <pageSetUpPr/>
  </sheetPr>
  <dimension ref="A1:E53"/>
  <sheetViews>
    <sheetView workbookViewId="0">
      <selection activeCell="C5" sqref="C5"/>
    </sheetView>
  </sheetViews>
  <sheetFormatPr baseColWidth="10" defaultRowHeight="15"/>
  <cols>
    <col width="20.140625" bestFit="1" customWidth="1" style="1" min="1" max="1"/>
    <col width="15.140625" bestFit="1" customWidth="1" style="1" min="2" max="2"/>
    <col width="25.7109375" bestFit="1" customWidth="1" style="1" min="3" max="3"/>
    <col width="11.42578125" customWidth="1" style="1" min="4" max="16384"/>
  </cols>
  <sheetData>
    <row r="1" ht="15" customHeight="1">
      <c r="A1" s="59" t="inlineStr">
        <is>
          <t>EL C1 (Cisterna 1)</t>
        </is>
      </c>
      <c r="B1" s="60" t="n"/>
      <c r="C1" s="60" t="n"/>
      <c r="D1" s="60" t="n"/>
      <c r="E1" s="61" t="n"/>
    </row>
    <row r="2" ht="15.75" customHeight="1" thickBot="1">
      <c r="A2" s="62" t="n"/>
      <c r="B2" s="63" t="n"/>
      <c r="C2" s="63" t="n"/>
      <c r="D2" s="63" t="n"/>
      <c r="E2" s="64" t="n"/>
    </row>
    <row r="3">
      <c r="A3" s="2" t="inlineStr">
        <is>
          <t>Longitud:</t>
        </is>
      </c>
      <c r="B3" s="1" t="n">
        <v>4.95</v>
      </c>
    </row>
    <row r="4">
      <c r="A4" s="2" t="inlineStr">
        <is>
          <t>Diametro:</t>
        </is>
      </c>
      <c r="B4" s="1" t="n">
        <v>2.25</v>
      </c>
    </row>
    <row r="5" ht="21" customHeight="1">
      <c r="A5" s="2" t="inlineStr">
        <is>
          <t>Volumen del Tanque:</t>
        </is>
      </c>
      <c r="B5" s="1" t="inlineStr">
        <is>
          <t>((Pi*r2)*L)*1000</t>
        </is>
      </c>
      <c r="C5" s="10" t="inlineStr">
        <is>
          <t>19.682 Lts</t>
        </is>
      </c>
    </row>
    <row r="7" ht="18.75" customHeight="1">
      <c r="B7" s="9" t="inlineStr">
        <is>
          <t>Cm de varilla</t>
        </is>
      </c>
      <c r="C7" s="9" t="inlineStr">
        <is>
          <t>Lts de Gas Oil</t>
        </is>
      </c>
    </row>
    <row r="8" ht="15" customHeight="1">
      <c r="B8" s="3" t="n">
        <v>0</v>
      </c>
      <c r="C8" s="4" t="n">
        <v>0</v>
      </c>
    </row>
    <row r="9" ht="15" customHeight="1">
      <c r="B9" s="5" t="n">
        <v>0.05</v>
      </c>
      <c r="C9" s="6" t="n">
        <v>110</v>
      </c>
    </row>
    <row r="10" ht="15" customHeight="1">
      <c r="B10" s="5" t="n">
        <v>0.1</v>
      </c>
      <c r="C10" s="6" t="n">
        <v>309</v>
      </c>
    </row>
    <row r="11" ht="15" customHeight="1">
      <c r="B11" s="5" t="n">
        <v>0.15</v>
      </c>
      <c r="C11" s="6" t="n">
        <v>563</v>
      </c>
    </row>
    <row r="12" ht="15" customHeight="1">
      <c r="B12" s="5" t="n">
        <v>0.2</v>
      </c>
      <c r="C12" s="6" t="n">
        <v>861</v>
      </c>
    </row>
    <row r="13" ht="15" customHeight="1">
      <c r="B13" s="5" t="n">
        <v>0.25</v>
      </c>
      <c r="C13" s="6" t="n">
        <v>1195</v>
      </c>
    </row>
    <row r="14" ht="15" customHeight="1">
      <c r="B14" s="5" t="n">
        <v>0.3</v>
      </c>
      <c r="C14" s="6" t="n">
        <v>1560</v>
      </c>
    </row>
    <row r="15" ht="15" customHeight="1">
      <c r="B15" s="5" t="n">
        <v>0.35</v>
      </c>
      <c r="C15" s="6" t="n">
        <v>1951</v>
      </c>
    </row>
    <row r="16" ht="15" customHeight="1">
      <c r="B16" s="5" t="n">
        <v>0.4</v>
      </c>
      <c r="C16" s="6" t="n">
        <v>2366</v>
      </c>
    </row>
    <row r="17" ht="15" customHeight="1">
      <c r="B17" s="5" t="n">
        <v>0.45</v>
      </c>
      <c r="C17" s="6" t="n">
        <v>2802</v>
      </c>
    </row>
    <row r="18" ht="15" customHeight="1">
      <c r="B18" s="5" t="n">
        <v>0.5</v>
      </c>
      <c r="C18" s="6" t="n">
        <v>3257</v>
      </c>
    </row>
    <row r="19" ht="15" customHeight="1">
      <c r="B19" s="5" t="n">
        <v>0.55</v>
      </c>
      <c r="C19" s="6" t="n">
        <v>3728</v>
      </c>
    </row>
    <row r="20" ht="15" customHeight="1">
      <c r="B20" s="5" t="n">
        <v>0.6</v>
      </c>
      <c r="C20" s="6" t="n">
        <v>4213</v>
      </c>
    </row>
    <row r="21" ht="15" customHeight="1">
      <c r="B21" s="5" t="n">
        <v>0.65</v>
      </c>
      <c r="C21" s="6" t="n">
        <v>4712</v>
      </c>
    </row>
    <row r="22" ht="15" customHeight="1">
      <c r="B22" s="5" t="n">
        <v>0.7</v>
      </c>
      <c r="C22" s="6" t="n">
        <v>5222</v>
      </c>
    </row>
    <row r="23" ht="15" customHeight="1">
      <c r="B23" s="5" t="n">
        <v>0.75</v>
      </c>
      <c r="C23" s="6" t="n">
        <v>5743</v>
      </c>
    </row>
    <row r="24" ht="15" customHeight="1">
      <c r="B24" s="5" t="n">
        <v>0.8</v>
      </c>
      <c r="C24" s="6" t="n">
        <v>6272</v>
      </c>
    </row>
    <row r="25" ht="15" customHeight="1">
      <c r="B25" s="5" t="n">
        <v>0.85</v>
      </c>
      <c r="C25" s="6" t="n">
        <v>6809</v>
      </c>
    </row>
    <row r="26" ht="15" customHeight="1">
      <c r="B26" s="5" t="n">
        <v>0.9</v>
      </c>
      <c r="C26" s="6" t="n">
        <v>7352</v>
      </c>
    </row>
    <row r="27" ht="15" customHeight="1">
      <c r="B27" s="5" t="n">
        <v>0.95</v>
      </c>
      <c r="C27" s="6" t="n">
        <v>7900</v>
      </c>
    </row>
    <row r="28" ht="15" customHeight="1">
      <c r="B28" s="5" t="n">
        <v>1</v>
      </c>
      <c r="C28" s="6" t="n">
        <v>8451</v>
      </c>
    </row>
    <row r="29" ht="15" customHeight="1">
      <c r="B29" s="11" t="n">
        <v>1.05</v>
      </c>
      <c r="C29" s="12" t="n">
        <v>9006</v>
      </c>
    </row>
    <row r="30" ht="15" customHeight="1">
      <c r="B30" s="17" t="n">
        <v>1.1</v>
      </c>
      <c r="C30" s="14" t="n">
        <v>9562</v>
      </c>
    </row>
    <row r="31" ht="15" customHeight="1">
      <c r="B31" s="16" t="n">
        <v>1.15</v>
      </c>
      <c r="C31" s="4" t="n">
        <v>10119</v>
      </c>
    </row>
    <row r="32" ht="15" customHeight="1">
      <c r="B32" s="15" t="n">
        <v>1.2</v>
      </c>
      <c r="C32" s="6" t="n">
        <v>10675</v>
      </c>
    </row>
    <row r="33" ht="15" customHeight="1">
      <c r="B33" s="15" t="n">
        <v>1.25</v>
      </c>
      <c r="C33" s="6" t="n">
        <v>11230</v>
      </c>
    </row>
    <row r="34" ht="15" customHeight="1">
      <c r="B34" s="5" t="n">
        <v>1.3</v>
      </c>
      <c r="C34" s="6" t="n">
        <v>11782</v>
      </c>
    </row>
    <row r="35" ht="15" customHeight="1">
      <c r="B35" s="5" t="n">
        <v>1.35</v>
      </c>
      <c r="C35" s="6" t="n">
        <v>12330</v>
      </c>
    </row>
    <row r="36" ht="15" customHeight="1">
      <c r="B36" s="5" t="n">
        <v>1.4</v>
      </c>
      <c r="C36" s="6" t="n">
        <v>12873</v>
      </c>
    </row>
    <row r="37" ht="15" customHeight="1">
      <c r="B37" s="5" t="n">
        <v>1.45</v>
      </c>
      <c r="C37" s="6" t="n">
        <v>13409</v>
      </c>
    </row>
    <row r="38" ht="15" customHeight="1">
      <c r="B38" s="5" t="n">
        <v>1.5</v>
      </c>
      <c r="C38" s="6" t="n">
        <v>13939</v>
      </c>
    </row>
    <row r="39" ht="15" customHeight="1">
      <c r="B39" s="5" t="n">
        <v>1.55</v>
      </c>
      <c r="C39" s="6" t="n">
        <v>14459</v>
      </c>
    </row>
    <row r="40" ht="15" customHeight="1">
      <c r="B40" s="5" t="n">
        <v>1.6</v>
      </c>
      <c r="C40" s="6" t="n">
        <v>14969</v>
      </c>
    </row>
    <row r="41" ht="15" customHeight="1">
      <c r="B41" s="5" t="n">
        <v>1.65</v>
      </c>
      <c r="C41" s="6" t="n">
        <v>15468</v>
      </c>
    </row>
    <row r="42" ht="15" customHeight="1">
      <c r="B42" s="5" t="n">
        <v>1.7</v>
      </c>
      <c r="C42" s="6" t="n">
        <v>15954</v>
      </c>
    </row>
    <row r="43" ht="15" customHeight="1">
      <c r="B43" s="5" t="n">
        <v>1.75</v>
      </c>
      <c r="C43" s="6" t="n">
        <v>16425</v>
      </c>
    </row>
    <row r="44" ht="15" customHeight="1">
      <c r="B44" s="5" t="n">
        <v>1.8</v>
      </c>
      <c r="C44" s="6" t="n">
        <v>16879</v>
      </c>
    </row>
    <row r="45" ht="15" customHeight="1">
      <c r="B45" s="5" t="n">
        <v>1.85</v>
      </c>
      <c r="C45" s="6" t="n">
        <v>17315</v>
      </c>
    </row>
    <row r="46" ht="15" customHeight="1">
      <c r="B46" s="5" t="n">
        <v>1.9</v>
      </c>
      <c r="C46" s="6" t="n">
        <v>17730</v>
      </c>
    </row>
    <row r="47" ht="15" customHeight="1">
      <c r="B47" s="5" t="n">
        <v>1.95</v>
      </c>
      <c r="C47" s="6" t="n">
        <v>18122</v>
      </c>
    </row>
    <row r="48" ht="15" customHeight="1">
      <c r="B48" s="5" t="n">
        <v>2</v>
      </c>
      <c r="C48" s="6" t="n">
        <v>18486</v>
      </c>
    </row>
    <row r="49" ht="15" customHeight="1">
      <c r="B49" s="5" t="n">
        <v>2.05</v>
      </c>
      <c r="C49" s="6" t="n">
        <v>18820</v>
      </c>
    </row>
    <row r="50" ht="15" customHeight="1">
      <c r="B50" s="5" t="n">
        <v>2.1</v>
      </c>
      <c r="C50" s="6" t="n">
        <v>19118</v>
      </c>
    </row>
    <row r="51" ht="15" customHeight="1">
      <c r="B51" s="5" t="n">
        <v>2.15</v>
      </c>
      <c r="C51" s="6" t="n">
        <v>19373</v>
      </c>
    </row>
    <row r="52" ht="15" customHeight="1">
      <c r="B52" s="5" t="n">
        <v>2.2</v>
      </c>
      <c r="C52" s="6" t="n">
        <v>19572</v>
      </c>
    </row>
    <row r="53" ht="15" customHeight="1">
      <c r="B53" s="7" t="n">
        <v>2.25</v>
      </c>
      <c r="C53" s="8" t="n">
        <v>19682</v>
      </c>
    </row>
  </sheetData>
  <mergeCells count="1">
    <mergeCell ref="A1:E2"/>
  </mergeCells>
  <pageMargins left="0.7" right="0.7" top="0.29" bottom="0.17" header="0.3" footer="0.3"/>
  <pageSetup orientation="portrait" paperSize="9"/>
</worksheet>
</file>

<file path=xl/worksheets/sheet7.xml><?xml version="1.0" encoding="utf-8"?>
<worksheet xmlns="http://schemas.openxmlformats.org/spreadsheetml/2006/main">
  <sheetPr>
    <tabColor rgb="FFFFC000"/>
    <outlinePr summaryBelow="1" summaryRight="1"/>
    <pageSetUpPr/>
  </sheetPr>
  <dimension ref="A1:E47"/>
  <sheetViews>
    <sheetView workbookViewId="0">
      <selection activeCell="C5" sqref="C5"/>
    </sheetView>
  </sheetViews>
  <sheetFormatPr baseColWidth="10" defaultRowHeight="15"/>
  <cols>
    <col width="20.140625" bestFit="1" customWidth="1" style="1" min="1" max="1"/>
    <col width="15.140625" bestFit="1" customWidth="1" style="1" min="2" max="2"/>
    <col width="25.7109375" bestFit="1" customWidth="1" style="1" min="3" max="3"/>
    <col width="11.42578125" customWidth="1" style="1" min="4" max="16384"/>
  </cols>
  <sheetData>
    <row r="1" ht="15" customHeight="1">
      <c r="A1" s="59" t="inlineStr">
        <is>
          <t>EL C1 (Cisterna 2)</t>
        </is>
      </c>
      <c r="B1" s="60" t="n"/>
      <c r="C1" s="60" t="n"/>
      <c r="D1" s="60" t="n"/>
      <c r="E1" s="61" t="n"/>
    </row>
    <row r="2" ht="15.75" customHeight="1" thickBot="1">
      <c r="A2" s="62" t="n"/>
      <c r="B2" s="63" t="n"/>
      <c r="C2" s="63" t="n"/>
      <c r="D2" s="63" t="n"/>
      <c r="E2" s="64" t="n"/>
    </row>
    <row r="3">
      <c r="A3" s="2" t="inlineStr">
        <is>
          <t>Longitud:</t>
        </is>
      </c>
      <c r="B3" s="1" t="n">
        <v>5.05</v>
      </c>
    </row>
    <row r="4">
      <c r="A4" s="2" t="inlineStr">
        <is>
          <t>Diametro:</t>
        </is>
      </c>
      <c r="B4" s="1" t="n">
        <v>1.96</v>
      </c>
    </row>
    <row r="5" ht="21" customHeight="1">
      <c r="A5" s="2" t="inlineStr">
        <is>
          <t>Volumen del Tanque:</t>
        </is>
      </c>
      <c r="B5" s="1" t="inlineStr">
        <is>
          <t>((Pi*r2)*L)*1000</t>
        </is>
      </c>
      <c r="C5" s="10" t="inlineStr">
        <is>
          <t>15.237 Lts</t>
        </is>
      </c>
    </row>
    <row r="7" ht="18.75" customHeight="1">
      <c r="B7" s="9" t="inlineStr">
        <is>
          <t>Cm de varilla</t>
        </is>
      </c>
      <c r="C7" s="9" t="inlineStr">
        <is>
          <t>Lts de Gas Oil</t>
        </is>
      </c>
    </row>
    <row r="8" ht="15" customHeight="1">
      <c r="B8" s="3" t="n">
        <v>0</v>
      </c>
      <c r="C8" s="4" t="n">
        <v>0</v>
      </c>
    </row>
    <row r="9" ht="15" customHeight="1">
      <c r="B9" s="5" t="n">
        <v>0.05</v>
      </c>
      <c r="C9" s="6" t="n">
        <v>50</v>
      </c>
    </row>
    <row r="10" ht="15" customHeight="1">
      <c r="B10" s="5" t="n">
        <v>0.1</v>
      </c>
      <c r="C10" s="6" t="n">
        <v>293</v>
      </c>
    </row>
    <row r="11" ht="15" customHeight="1">
      <c r="B11" s="5" t="n">
        <v>0.15</v>
      </c>
      <c r="C11" s="6" t="n">
        <v>535</v>
      </c>
    </row>
    <row r="12" ht="15" customHeight="1">
      <c r="B12" s="5" t="n">
        <v>0.2</v>
      </c>
      <c r="C12" s="6" t="n">
        <v>817</v>
      </c>
    </row>
    <row r="13" ht="15" customHeight="1">
      <c r="B13" s="5" t="n">
        <v>0.25</v>
      </c>
      <c r="C13" s="6" t="n">
        <v>1132</v>
      </c>
    </row>
    <row r="14" ht="15" customHeight="1">
      <c r="B14" s="5" t="n">
        <v>0.3</v>
      </c>
      <c r="C14" s="6" t="n">
        <v>1476</v>
      </c>
    </row>
    <row r="15" ht="15" customHeight="1">
      <c r="B15" s="5" t="n">
        <v>0.35</v>
      </c>
      <c r="C15" s="6" t="n">
        <v>1844</v>
      </c>
    </row>
    <row r="16" ht="15" customHeight="1">
      <c r="B16" s="5" t="n">
        <v>0.4</v>
      </c>
      <c r="C16" s="6" t="n">
        <v>2233</v>
      </c>
    </row>
    <row r="17" ht="15" customHeight="1">
      <c r="B17" s="5" t="n">
        <v>0.45</v>
      </c>
      <c r="C17" s="6" t="n">
        <v>2641</v>
      </c>
    </row>
    <row r="18" ht="15" customHeight="1">
      <c r="B18" s="5" t="n">
        <v>0.5</v>
      </c>
      <c r="C18" s="6" t="n">
        <v>3065</v>
      </c>
    </row>
    <row r="19" ht="15" customHeight="1">
      <c r="B19" s="5" t="n">
        <v>0.55</v>
      </c>
      <c r="C19" s="6" t="n">
        <v>3503</v>
      </c>
    </row>
    <row r="20" ht="15" customHeight="1">
      <c r="B20" s="5" t="n">
        <v>0.6</v>
      </c>
      <c r="C20" s="6" t="n">
        <v>3954</v>
      </c>
    </row>
    <row r="21" ht="15" customHeight="1">
      <c r="B21" s="5" t="n">
        <v>0.65</v>
      </c>
      <c r="C21" s="6" t="n">
        <v>4415</v>
      </c>
    </row>
    <row r="22" ht="15" customHeight="1">
      <c r="B22" s="5" t="n">
        <v>0.7</v>
      </c>
      <c r="C22" s="6" t="n">
        <v>4885</v>
      </c>
    </row>
    <row r="23" ht="15" customHeight="1">
      <c r="B23" s="5" t="n">
        <v>0.75</v>
      </c>
      <c r="C23" s="6" t="n">
        <v>5363</v>
      </c>
    </row>
    <row r="24" ht="15" customHeight="1">
      <c r="B24" s="5" t="n">
        <v>0.8</v>
      </c>
      <c r="C24" s="6" t="n">
        <v>5847</v>
      </c>
    </row>
    <row r="25" ht="15" customHeight="1">
      <c r="B25" s="5" t="n">
        <v>0.85</v>
      </c>
      <c r="C25" s="6" t="n">
        <v>6335</v>
      </c>
    </row>
    <row r="26" ht="15" customHeight="1">
      <c r="B26" s="5" t="n">
        <v>0.9</v>
      </c>
      <c r="C26" s="6" t="n">
        <v>6827</v>
      </c>
    </row>
    <row r="27" ht="15" customHeight="1">
      <c r="B27" s="19" t="n">
        <v>0.95</v>
      </c>
      <c r="C27" s="20" t="n">
        <v>7321</v>
      </c>
    </row>
    <row r="28" ht="15" customHeight="1">
      <c r="B28" s="5" t="n">
        <v>1</v>
      </c>
      <c r="C28" s="6" t="n">
        <v>7816</v>
      </c>
    </row>
    <row r="29" ht="15" customHeight="1">
      <c r="B29" s="5" t="n">
        <v>1.05</v>
      </c>
      <c r="C29" s="6" t="n">
        <v>8311</v>
      </c>
    </row>
    <row r="30" ht="15" customHeight="1">
      <c r="B30" s="15" t="n">
        <v>1.1</v>
      </c>
      <c r="C30" s="6" t="n">
        <v>8803</v>
      </c>
    </row>
    <row r="31" ht="15" customHeight="1">
      <c r="B31" s="15" t="n">
        <v>1.15</v>
      </c>
      <c r="C31" s="6" t="n">
        <v>9293</v>
      </c>
    </row>
    <row r="32" ht="15" customHeight="1">
      <c r="B32" s="15" t="n">
        <v>1.2</v>
      </c>
      <c r="C32" s="6" t="n">
        <v>9778</v>
      </c>
    </row>
    <row r="33" ht="15" customHeight="1">
      <c r="B33" s="15" t="n">
        <v>1.25</v>
      </c>
      <c r="C33" s="6" t="n">
        <v>10257</v>
      </c>
    </row>
    <row r="34" ht="15" customHeight="1">
      <c r="B34" s="5" t="n">
        <v>1.3</v>
      </c>
      <c r="C34" s="6" t="n">
        <v>10729</v>
      </c>
    </row>
    <row r="35" ht="15" customHeight="1">
      <c r="B35" s="5" t="n">
        <v>1.35</v>
      </c>
      <c r="C35" s="6" t="n">
        <v>11192</v>
      </c>
    </row>
    <row r="36" ht="15" customHeight="1">
      <c r="B36" s="5" t="n">
        <v>1.4</v>
      </c>
      <c r="C36" s="6" t="n">
        <v>11645</v>
      </c>
    </row>
    <row r="37" ht="15" customHeight="1">
      <c r="B37" s="5" t="n">
        <v>1.45</v>
      </c>
      <c r="C37" s="6" t="n">
        <v>12085</v>
      </c>
    </row>
    <row r="38" ht="15" customHeight="1">
      <c r="B38" s="5" t="n">
        <v>1.5</v>
      </c>
      <c r="C38" s="6" t="n">
        <v>12512</v>
      </c>
    </row>
    <row r="39" ht="15" customHeight="1">
      <c r="B39" s="5" t="n">
        <v>1.55</v>
      </c>
      <c r="C39" s="6" t="n">
        <v>12924</v>
      </c>
    </row>
    <row r="40" ht="15" customHeight="1">
      <c r="B40" s="5" t="n">
        <v>1.6</v>
      </c>
      <c r="C40" s="6" t="n">
        <v>13317</v>
      </c>
    </row>
    <row r="41" ht="15" customHeight="1">
      <c r="B41" s="5" t="n">
        <v>1.65</v>
      </c>
      <c r="C41" s="6" t="n">
        <v>13689</v>
      </c>
    </row>
    <row r="42" ht="15" customHeight="1">
      <c r="B42" s="5" t="n">
        <v>1.7</v>
      </c>
      <c r="C42" s="6" t="n">
        <v>14038</v>
      </c>
    </row>
    <row r="43" ht="15" customHeight="1">
      <c r="B43" s="5" t="n">
        <v>1.75</v>
      </c>
      <c r="C43" s="6" t="n">
        <v>14359</v>
      </c>
    </row>
    <row r="44" ht="15" customHeight="1">
      <c r="B44" s="5" t="n">
        <v>1.8</v>
      </c>
      <c r="C44" s="6" t="n">
        <v>14648</v>
      </c>
    </row>
    <row r="45" ht="15" customHeight="1">
      <c r="B45" s="5" t="n">
        <v>1.85</v>
      </c>
      <c r="C45" s="6" t="n">
        <v>14899</v>
      </c>
    </row>
    <row r="46" ht="15" customHeight="1">
      <c r="B46" s="5" t="n">
        <v>1.9</v>
      </c>
      <c r="C46" s="6" t="n">
        <v>15100</v>
      </c>
    </row>
    <row r="47" ht="15" customHeight="1">
      <c r="B47" s="7" t="n">
        <v>1.96</v>
      </c>
      <c r="C47" s="8" t="n">
        <v>15237</v>
      </c>
    </row>
  </sheetData>
  <mergeCells count="1">
    <mergeCell ref="A1:E2"/>
  </mergeCells>
  <pageMargins left="0.7" right="0.7" top="0.29" bottom="0.17" header="0.3" footer="0.3"/>
  <pageSetup orientation="portrait" paperSize="9"/>
</worksheet>
</file>

<file path=xl/worksheets/sheet8.xml><?xml version="1.0" encoding="utf-8"?>
<worksheet xmlns="http://schemas.openxmlformats.org/spreadsheetml/2006/main">
  <sheetPr>
    <tabColor rgb="FFFFC000"/>
    <outlinePr summaryBelow="1" summaryRight="1"/>
    <pageSetUpPr/>
  </sheetPr>
  <dimension ref="A1:E47"/>
  <sheetViews>
    <sheetView workbookViewId="0">
      <selection activeCell="E7" sqref="E7"/>
    </sheetView>
  </sheetViews>
  <sheetFormatPr baseColWidth="10" defaultRowHeight="15"/>
  <cols>
    <col width="20.140625" bestFit="1" customWidth="1" style="1" min="1" max="1"/>
    <col width="15.140625" bestFit="1" customWidth="1" style="1" min="2" max="2"/>
    <col width="25.7109375" bestFit="1" customWidth="1" style="1" min="3" max="3"/>
    <col width="11.42578125" customWidth="1" style="1" min="4" max="16384"/>
  </cols>
  <sheetData>
    <row r="1" ht="15" customHeight="1">
      <c r="A1" s="59" t="inlineStr">
        <is>
          <t>EL C1 (3) Tanquesito</t>
        </is>
      </c>
      <c r="B1" s="60" t="n"/>
      <c r="C1" s="60" t="n"/>
      <c r="D1" s="60" t="n"/>
      <c r="E1" s="61" t="n"/>
    </row>
    <row r="2" ht="15.75" customHeight="1" thickBot="1">
      <c r="A2" s="62" t="n"/>
      <c r="B2" s="63" t="n"/>
      <c r="C2" s="63" t="n"/>
      <c r="D2" s="63" t="n"/>
      <c r="E2" s="64" t="n"/>
    </row>
    <row r="3">
      <c r="A3" s="2" t="inlineStr">
        <is>
          <t>Longitud:</t>
        </is>
      </c>
      <c r="B3" s="1" t="n">
        <v>5.05</v>
      </c>
    </row>
    <row r="4">
      <c r="A4" s="2" t="inlineStr">
        <is>
          <t>Diametro:</t>
        </is>
      </c>
      <c r="B4" s="1" t="n">
        <v>1.96</v>
      </c>
    </row>
    <row r="5" ht="21" customHeight="1">
      <c r="A5" s="2" t="inlineStr">
        <is>
          <t>Volumen del Tanque:</t>
        </is>
      </c>
      <c r="B5" s="1" t="inlineStr">
        <is>
          <t>((Pi*r2)*L)*1000</t>
        </is>
      </c>
      <c r="C5" s="10" t="n">
        <v>15237</v>
      </c>
    </row>
    <row r="7" ht="18.75" customHeight="1">
      <c r="B7" s="9" t="inlineStr">
        <is>
          <t>Cm de varilla</t>
        </is>
      </c>
      <c r="C7" s="9" t="inlineStr">
        <is>
          <t>Lts de Gas Oil</t>
        </is>
      </c>
    </row>
    <row r="8" ht="15" customHeight="1">
      <c r="B8" s="3" t="n">
        <v>0</v>
      </c>
      <c r="C8" s="4" t="n">
        <v>0</v>
      </c>
    </row>
    <row r="9" ht="15" customHeight="1">
      <c r="B9" s="5" t="n">
        <v>0.05</v>
      </c>
      <c r="C9" s="6" t="n">
        <v>50</v>
      </c>
    </row>
    <row r="10" ht="15" customHeight="1">
      <c r="B10" s="5" t="n">
        <v>0.1</v>
      </c>
      <c r="C10" s="6" t="n">
        <v>293</v>
      </c>
    </row>
    <row r="11" ht="15" customHeight="1">
      <c r="B11" s="5" t="n">
        <v>0.15</v>
      </c>
      <c r="C11" s="6" t="n">
        <v>535</v>
      </c>
    </row>
    <row r="12" ht="15" customHeight="1">
      <c r="B12" s="5" t="n">
        <v>0.2</v>
      </c>
      <c r="C12" s="6" t="n">
        <v>817</v>
      </c>
    </row>
    <row r="13" ht="15" customHeight="1">
      <c r="B13" s="5" t="n">
        <v>0.25</v>
      </c>
      <c r="C13" s="6" t="n">
        <v>1132</v>
      </c>
    </row>
    <row r="14" ht="15" customHeight="1">
      <c r="B14" s="5" t="n">
        <v>0.3</v>
      </c>
      <c r="C14" s="6" t="n">
        <v>1476</v>
      </c>
    </row>
    <row r="15" ht="15" customHeight="1">
      <c r="B15" s="5" t="n">
        <v>0.35</v>
      </c>
      <c r="C15" s="6" t="n">
        <v>1844</v>
      </c>
    </row>
    <row r="16" ht="15" customHeight="1">
      <c r="B16" s="5" t="n">
        <v>0.4</v>
      </c>
      <c r="C16" s="6" t="n">
        <v>2233</v>
      </c>
    </row>
    <row r="17" ht="15" customHeight="1">
      <c r="B17" s="5" t="n">
        <v>0.45</v>
      </c>
      <c r="C17" s="6" t="n">
        <v>2641</v>
      </c>
    </row>
    <row r="18" ht="15" customHeight="1">
      <c r="B18" s="5" t="n">
        <v>0.5</v>
      </c>
      <c r="C18" s="6" t="n">
        <v>3065</v>
      </c>
    </row>
    <row r="19" ht="15" customHeight="1">
      <c r="B19" s="5" t="n">
        <v>0.55</v>
      </c>
      <c r="C19" s="6" t="n">
        <v>3503</v>
      </c>
    </row>
    <row r="20" ht="15" customHeight="1">
      <c r="B20" s="5" t="n">
        <v>0.6</v>
      </c>
      <c r="C20" s="6" t="n">
        <v>3954</v>
      </c>
    </row>
    <row r="21" ht="15" customHeight="1">
      <c r="B21" s="5" t="n">
        <v>0.65</v>
      </c>
      <c r="C21" s="6" t="n">
        <v>4415</v>
      </c>
    </row>
    <row r="22" ht="15" customHeight="1">
      <c r="B22" s="5" t="n">
        <v>0.7</v>
      </c>
      <c r="C22" s="6" t="n">
        <v>4885</v>
      </c>
    </row>
    <row r="23" ht="15" customHeight="1">
      <c r="B23" s="5" t="n">
        <v>0.75</v>
      </c>
      <c r="C23" s="6" t="n">
        <v>5363</v>
      </c>
    </row>
    <row r="24" ht="15" customHeight="1">
      <c r="B24" s="5" t="n">
        <v>0.8</v>
      </c>
      <c r="C24" s="6" t="n">
        <v>5847</v>
      </c>
    </row>
    <row r="25" ht="15" customHeight="1">
      <c r="B25" s="5" t="n">
        <v>0.85</v>
      </c>
      <c r="C25" s="6" t="n">
        <v>6335</v>
      </c>
    </row>
    <row r="26" ht="15" customHeight="1">
      <c r="B26" s="5" t="n">
        <v>0.9</v>
      </c>
      <c r="C26" s="6" t="n">
        <v>6827</v>
      </c>
    </row>
    <row r="27" ht="15" customHeight="1">
      <c r="B27" s="19" t="n">
        <v>0.95</v>
      </c>
      <c r="C27" s="20" t="n">
        <v>7321</v>
      </c>
    </row>
    <row r="28" ht="15" customHeight="1">
      <c r="B28" s="5" t="n">
        <v>1</v>
      </c>
      <c r="C28" s="6" t="n">
        <v>7816</v>
      </c>
    </row>
    <row r="29" ht="15" customHeight="1">
      <c r="B29" s="5" t="n">
        <v>1.05</v>
      </c>
      <c r="C29" s="6" t="n">
        <v>8311</v>
      </c>
    </row>
    <row r="30" ht="15" customHeight="1">
      <c r="B30" s="15" t="n">
        <v>1.1</v>
      </c>
      <c r="C30" s="6" t="n">
        <v>8803</v>
      </c>
    </row>
    <row r="31" ht="15" customHeight="1">
      <c r="B31" s="15" t="n">
        <v>1.15</v>
      </c>
      <c r="C31" s="6" t="n">
        <v>9293</v>
      </c>
    </row>
    <row r="32" ht="15" customHeight="1">
      <c r="B32" s="15" t="n">
        <v>1.2</v>
      </c>
      <c r="C32" s="6" t="n">
        <v>9778</v>
      </c>
    </row>
    <row r="33" ht="15" customHeight="1">
      <c r="B33" s="15" t="n">
        <v>1.25</v>
      </c>
      <c r="C33" s="6" t="n">
        <v>10257</v>
      </c>
    </row>
    <row r="34" ht="15" customHeight="1">
      <c r="B34" s="5" t="n">
        <v>1.3</v>
      </c>
      <c r="C34" s="6" t="n">
        <v>10729</v>
      </c>
    </row>
    <row r="35" ht="15" customHeight="1">
      <c r="B35" s="5" t="n">
        <v>1.35</v>
      </c>
      <c r="C35" s="6" t="n">
        <v>11192</v>
      </c>
    </row>
    <row r="36" ht="15" customHeight="1">
      <c r="B36" s="5" t="n">
        <v>1.4</v>
      </c>
      <c r="C36" s="6" t="n">
        <v>11645</v>
      </c>
    </row>
    <row r="37" ht="15" customHeight="1">
      <c r="B37" s="5" t="n">
        <v>1.45</v>
      </c>
      <c r="C37" s="6" t="n">
        <v>12085</v>
      </c>
    </row>
    <row r="38" ht="15" customHeight="1">
      <c r="B38" s="5" t="n">
        <v>1.5</v>
      </c>
      <c r="C38" s="6" t="n">
        <v>12512</v>
      </c>
    </row>
    <row r="39" ht="15" customHeight="1">
      <c r="B39" s="5" t="n">
        <v>1.55</v>
      </c>
      <c r="C39" s="6" t="n">
        <v>12924</v>
      </c>
    </row>
    <row r="40" ht="15" customHeight="1">
      <c r="B40" s="5" t="n">
        <v>1.6</v>
      </c>
      <c r="C40" s="6" t="n">
        <v>13317</v>
      </c>
    </row>
    <row r="41" ht="15" customHeight="1">
      <c r="B41" s="5" t="n">
        <v>1.65</v>
      </c>
      <c r="C41" s="6" t="n">
        <v>13689</v>
      </c>
    </row>
    <row r="42" ht="15" customHeight="1">
      <c r="B42" s="5" t="n">
        <v>1.7</v>
      </c>
      <c r="C42" s="6" t="n">
        <v>14038</v>
      </c>
    </row>
    <row r="43" ht="15" customHeight="1">
      <c r="B43" s="5" t="n">
        <v>1.75</v>
      </c>
      <c r="C43" s="6" t="n">
        <v>14359</v>
      </c>
    </row>
    <row r="44" ht="15" customHeight="1">
      <c r="B44" s="5" t="n">
        <v>1.8</v>
      </c>
      <c r="C44" s="6" t="n">
        <v>14648</v>
      </c>
    </row>
    <row r="45" ht="15" customHeight="1">
      <c r="B45" s="5" t="n">
        <v>1.85</v>
      </c>
      <c r="C45" s="6" t="n">
        <v>14899</v>
      </c>
    </row>
    <row r="46" ht="15" customHeight="1">
      <c r="B46" s="5" t="n">
        <v>1.9</v>
      </c>
      <c r="C46" s="6" t="n">
        <v>15100</v>
      </c>
    </row>
    <row r="47" ht="15" customHeight="1">
      <c r="B47" s="7" t="n">
        <v>1.96</v>
      </c>
      <c r="C47" s="8" t="n">
        <v>15237</v>
      </c>
    </row>
  </sheetData>
  <mergeCells count="1">
    <mergeCell ref="A1:E2"/>
  </mergeCells>
  <pageMargins left="0.7" right="0.7" top="0.29" bottom="0.17" header="0.3" footer="0.3"/>
  <pageSetup orientation="portrait" paperSize="9"/>
</worksheet>
</file>

<file path=xl/worksheets/sheet9.xml><?xml version="1.0" encoding="utf-8"?>
<worksheet xmlns="http://schemas.openxmlformats.org/spreadsheetml/2006/main">
  <sheetPr>
    <tabColor rgb="FFFFC000"/>
    <outlinePr summaryBelow="1" summaryRight="1"/>
    <pageSetUpPr/>
  </sheetPr>
  <dimension ref="A1:E58"/>
  <sheetViews>
    <sheetView workbookViewId="0">
      <selection activeCell="C5" sqref="C5"/>
    </sheetView>
  </sheetViews>
  <sheetFormatPr baseColWidth="10" defaultRowHeight="15"/>
  <cols>
    <col width="20.140625" bestFit="1" customWidth="1" style="1" min="1" max="1"/>
    <col width="15.140625" bestFit="1" customWidth="1" style="1" min="2" max="2"/>
    <col width="25.7109375" bestFit="1" customWidth="1" style="1" min="3" max="3"/>
    <col width="11.42578125" customWidth="1" style="1" min="4" max="16384"/>
  </cols>
  <sheetData>
    <row r="1" ht="15" customHeight="1">
      <c r="A1" s="59" t="inlineStr">
        <is>
          <t>WICHI</t>
        </is>
      </c>
      <c r="B1" s="60" t="n"/>
      <c r="C1" s="60" t="n"/>
      <c r="D1" s="60" t="n"/>
      <c r="E1" s="61" t="n"/>
    </row>
    <row r="2" ht="15.75" customHeight="1" thickBot="1">
      <c r="A2" s="62" t="n"/>
      <c r="B2" s="63" t="n"/>
      <c r="C2" s="63" t="n"/>
      <c r="D2" s="63" t="n"/>
      <c r="E2" s="64" t="n"/>
    </row>
    <row r="3">
      <c r="A3" s="2" t="inlineStr">
        <is>
          <t>Longitud:</t>
        </is>
      </c>
      <c r="B3" s="1" t="n">
        <v>6.08</v>
      </c>
    </row>
    <row r="4">
      <c r="A4" s="2" t="inlineStr">
        <is>
          <t>Diametro:</t>
        </is>
      </c>
      <c r="B4" s="1" t="n">
        <v>2.5</v>
      </c>
    </row>
    <row r="5" ht="21" customHeight="1">
      <c r="A5" s="2" t="inlineStr">
        <is>
          <t>Volumen del Tanque:</t>
        </is>
      </c>
      <c r="B5" s="1" t="inlineStr">
        <is>
          <t>((Pi*r2)*L)*1000</t>
        </is>
      </c>
      <c r="C5" s="10" t="inlineStr">
        <is>
          <t>29.845 Lts</t>
        </is>
      </c>
    </row>
    <row r="6" ht="4.5" customHeight="1"/>
    <row r="7" ht="18.75" customHeight="1">
      <c r="B7" s="9" t="inlineStr">
        <is>
          <t>Cm de varilla</t>
        </is>
      </c>
      <c r="C7" s="9" t="inlineStr">
        <is>
          <t>Lts de Gas Oil</t>
        </is>
      </c>
    </row>
    <row r="8" ht="14.25" customHeight="1">
      <c r="B8" s="3" t="n">
        <v>0</v>
      </c>
      <c r="C8" s="4" t="n">
        <v>0</v>
      </c>
    </row>
    <row r="9" ht="14.25" customHeight="1">
      <c r="B9" s="5" t="n">
        <v>0.05</v>
      </c>
      <c r="C9" s="6" t="n">
        <v>142</v>
      </c>
    </row>
    <row r="10" ht="14.25" customHeight="1">
      <c r="B10" s="5" t="n">
        <v>0.1</v>
      </c>
      <c r="C10" s="6" t="n">
        <v>400</v>
      </c>
    </row>
    <row r="11" ht="14.25" customHeight="1">
      <c r="B11" s="5" t="n">
        <v>0.15</v>
      </c>
      <c r="C11" s="6" t="n">
        <v>731</v>
      </c>
    </row>
    <row r="12" ht="14.25" customHeight="1">
      <c r="B12" s="5" t="n">
        <v>0.2</v>
      </c>
      <c r="C12" s="6" t="n">
        <v>1119</v>
      </c>
    </row>
    <row r="13" ht="14.25" customHeight="1">
      <c r="B13" s="5" t="n">
        <v>0.25</v>
      </c>
      <c r="C13" s="6" t="n">
        <v>1553</v>
      </c>
    </row>
    <row r="14" ht="14.25" customHeight="1">
      <c r="B14" s="5" t="n">
        <v>0.3</v>
      </c>
      <c r="C14" s="6" t="n">
        <v>2029</v>
      </c>
    </row>
    <row r="15" ht="14.25" customHeight="1">
      <c r="B15" s="5" t="n">
        <v>0.35</v>
      </c>
      <c r="C15" s="6" t="n">
        <v>2540</v>
      </c>
    </row>
    <row r="16" ht="14.25" customHeight="1">
      <c r="B16" s="5" t="n">
        <v>0.4</v>
      </c>
      <c r="C16" s="6" t="n">
        <v>3082</v>
      </c>
    </row>
    <row r="17" ht="14.25" customHeight="1">
      <c r="B17" s="5" t="n">
        <v>0.45</v>
      </c>
      <c r="C17" s="6" t="n">
        <v>3653</v>
      </c>
    </row>
    <row r="18" ht="14.25" customHeight="1">
      <c r="B18" s="5" t="n">
        <v>0.5</v>
      </c>
      <c r="C18" s="6" t="n">
        <v>4249</v>
      </c>
    </row>
    <row r="19" ht="14.25" customHeight="1">
      <c r="B19" s="5" t="n">
        <v>0.55</v>
      </c>
      <c r="C19" s="6" t="n">
        <v>4868</v>
      </c>
    </row>
    <row r="20" ht="14.25" customHeight="1">
      <c r="B20" s="5" t="n">
        <v>0.6</v>
      </c>
      <c r="C20" s="6" t="n">
        <v>5508</v>
      </c>
    </row>
    <row r="21" ht="14.25" customHeight="1">
      <c r="B21" s="5" t="n">
        <v>0.65</v>
      </c>
      <c r="C21" s="6" t="n">
        <v>6166</v>
      </c>
    </row>
    <row r="22" ht="14.25" customHeight="1">
      <c r="B22" s="5" t="n">
        <v>0.7</v>
      </c>
      <c r="C22" s="6" t="n">
        <v>6841</v>
      </c>
    </row>
    <row r="23" ht="14.25" customHeight="1">
      <c r="B23" s="5" t="n">
        <v>0.75</v>
      </c>
      <c r="C23" s="6" t="n">
        <v>7530</v>
      </c>
    </row>
    <row r="24" ht="14.25" customHeight="1">
      <c r="B24" s="5" t="n">
        <v>0.8</v>
      </c>
      <c r="C24" s="6" t="n">
        <v>8233</v>
      </c>
    </row>
    <row r="25" ht="14.25" customHeight="1">
      <c r="B25" s="5" t="n">
        <v>0.85</v>
      </c>
      <c r="C25" s="6" t="n">
        <v>8948</v>
      </c>
    </row>
    <row r="26" ht="14.25" customHeight="1">
      <c r="B26" s="5" t="n">
        <v>0.9</v>
      </c>
      <c r="C26" s="6" t="n">
        <v>9673</v>
      </c>
    </row>
    <row r="27" ht="14.25" customHeight="1">
      <c r="B27" s="5" t="n">
        <v>0.95</v>
      </c>
      <c r="C27" s="6" t="n">
        <v>10407</v>
      </c>
    </row>
    <row r="28" ht="14.25" customHeight="1">
      <c r="B28" s="5" t="n">
        <v>1</v>
      </c>
      <c r="C28" s="6" t="n">
        <v>11148</v>
      </c>
    </row>
    <row r="29" ht="14.25" customHeight="1">
      <c r="B29" s="5" t="n">
        <v>1.05</v>
      </c>
      <c r="C29" s="6" t="n">
        <v>11896</v>
      </c>
    </row>
    <row r="30" ht="14.25" customHeight="1">
      <c r="B30" s="15" t="n">
        <v>1.1</v>
      </c>
      <c r="C30" s="6" t="n">
        <v>12648</v>
      </c>
    </row>
    <row r="31" ht="14.25" customHeight="1">
      <c r="B31" s="15" t="n">
        <v>1.15</v>
      </c>
      <c r="C31" s="6" t="n">
        <v>13404</v>
      </c>
    </row>
    <row r="32" ht="14.25" customHeight="1">
      <c r="B32" s="18" t="n">
        <v>1.2</v>
      </c>
      <c r="C32" s="12" t="n">
        <v>14163</v>
      </c>
    </row>
    <row r="33" ht="14.25" customHeight="1">
      <c r="B33" s="17" t="n">
        <v>1.25</v>
      </c>
      <c r="C33" s="14" t="n">
        <v>14923</v>
      </c>
    </row>
    <row r="34" ht="14.25" customHeight="1">
      <c r="B34" s="3" t="n">
        <v>1.3</v>
      </c>
      <c r="C34" s="4" t="n">
        <v>15682</v>
      </c>
    </row>
    <row r="35" ht="14.25" customHeight="1">
      <c r="B35" s="5" t="n">
        <v>1.35</v>
      </c>
      <c r="C35" s="6" t="n">
        <v>16441</v>
      </c>
    </row>
    <row r="36" ht="14.25" customHeight="1">
      <c r="B36" s="5" t="n">
        <v>1.4</v>
      </c>
      <c r="C36" s="6" t="n">
        <v>17197</v>
      </c>
    </row>
    <row r="37" ht="14.25" customHeight="1">
      <c r="B37" s="5" t="n">
        <v>1.45</v>
      </c>
      <c r="C37" s="6" t="n">
        <v>17950</v>
      </c>
    </row>
    <row r="38" ht="14.25" customHeight="1">
      <c r="B38" s="5" t="n">
        <v>1.5</v>
      </c>
      <c r="C38" s="6" t="n">
        <v>18697</v>
      </c>
    </row>
    <row r="39" ht="14.25" customHeight="1">
      <c r="B39" s="5" t="n">
        <v>1.55</v>
      </c>
      <c r="C39" s="6" t="n">
        <v>19438</v>
      </c>
    </row>
    <row r="40" ht="14.25" customHeight="1">
      <c r="B40" s="5" t="n">
        <v>1.6</v>
      </c>
      <c r="C40" s="6" t="n">
        <v>20172</v>
      </c>
    </row>
    <row r="41" ht="14.25" customHeight="1">
      <c r="B41" s="5" t="n">
        <v>1.65</v>
      </c>
      <c r="C41" s="6" t="n">
        <v>20897</v>
      </c>
    </row>
    <row r="42" ht="14.25" customHeight="1">
      <c r="B42" s="5" t="n">
        <v>1.7</v>
      </c>
      <c r="C42" s="6" t="n">
        <v>21612</v>
      </c>
    </row>
    <row r="43" ht="14.25" customHeight="1">
      <c r="B43" s="5" t="n">
        <v>1.75</v>
      </c>
      <c r="C43" s="6" t="n">
        <v>22315</v>
      </c>
    </row>
    <row r="44" ht="14.25" customHeight="1">
      <c r="B44" s="5" t="n">
        <v>1.8</v>
      </c>
      <c r="C44" s="6" t="n">
        <v>23004</v>
      </c>
    </row>
    <row r="45" ht="14.25" customHeight="1">
      <c r="B45" s="5" t="n">
        <v>1.85</v>
      </c>
      <c r="C45" s="6" t="n">
        <v>23679</v>
      </c>
    </row>
    <row r="46" ht="14.25" customHeight="1">
      <c r="B46" s="5" t="n">
        <v>1.9</v>
      </c>
      <c r="C46" s="6" t="n">
        <v>24337</v>
      </c>
    </row>
    <row r="47" ht="14.25" customHeight="1">
      <c r="B47" s="5" t="n">
        <v>1.95</v>
      </c>
      <c r="C47" s="6" t="n">
        <v>24977</v>
      </c>
    </row>
    <row r="48" ht="14.25" customHeight="1">
      <c r="B48" s="5" t="n">
        <v>2</v>
      </c>
      <c r="C48" s="6" t="n">
        <v>25596</v>
      </c>
    </row>
    <row r="49" ht="14.25" customHeight="1">
      <c r="B49" s="5" t="n">
        <v>2.05</v>
      </c>
      <c r="C49" s="6" t="n">
        <v>26192</v>
      </c>
    </row>
    <row r="50" ht="14.25" customHeight="1">
      <c r="B50" s="5" t="n">
        <v>2.1</v>
      </c>
      <c r="C50" s="6" t="n">
        <v>26763</v>
      </c>
    </row>
    <row r="51" ht="14.25" customHeight="1">
      <c r="B51" s="5" t="n">
        <v>2.15</v>
      </c>
      <c r="C51" s="6" t="n">
        <v>27305</v>
      </c>
    </row>
    <row r="52" ht="14.25" customHeight="1">
      <c r="B52" s="5" t="n">
        <v>2.2</v>
      </c>
      <c r="C52" s="6" t="n">
        <v>27816</v>
      </c>
    </row>
    <row r="53" ht="14.25" customHeight="1">
      <c r="B53" s="5" t="n">
        <v>2.25</v>
      </c>
      <c r="C53" s="6" t="n">
        <v>28292</v>
      </c>
    </row>
    <row r="54" ht="14.25" customHeight="1">
      <c r="B54" s="5" t="n">
        <v>2.3</v>
      </c>
      <c r="C54" s="6" t="n">
        <v>28727</v>
      </c>
    </row>
    <row r="55" ht="14.25" customHeight="1">
      <c r="B55" s="5" t="n">
        <v>2.35</v>
      </c>
      <c r="C55" s="6" t="n">
        <v>29114</v>
      </c>
    </row>
    <row r="56" ht="14.25" customHeight="1">
      <c r="B56" s="5" t="n">
        <v>2.4</v>
      </c>
      <c r="C56" s="6" t="n">
        <v>29445</v>
      </c>
    </row>
    <row r="57" ht="14.25" customHeight="1">
      <c r="B57" s="5" t="n">
        <v>2.45</v>
      </c>
      <c r="C57" s="6" t="n">
        <v>29703</v>
      </c>
    </row>
    <row r="58" ht="14.25" customHeight="1">
      <c r="B58" s="7" t="n">
        <v>2.5</v>
      </c>
      <c r="C58" s="8" t="n">
        <v>29845</v>
      </c>
    </row>
  </sheetData>
  <mergeCells count="1">
    <mergeCell ref="A1:E2"/>
  </mergeCells>
  <pageMargins left="0.7" right="0.7" top="0.29" bottom="0.17" header="0.3" footer="0.3"/>
  <pageSetup orientation="portrait" paperSize="9"/>
</worksheet>
</file>

<file path=xl/worksheets/sheet10.xml><?xml version="1.0" encoding="utf-8"?>
<worksheet xmlns="http://schemas.openxmlformats.org/spreadsheetml/2006/main">
  <sheetPr>
    <tabColor rgb="FFFFC000"/>
    <outlinePr summaryBelow="1" summaryRight="1"/>
    <pageSetUpPr/>
  </sheetPr>
  <dimension ref="A1:E56"/>
  <sheetViews>
    <sheetView zoomScaleNormal="100" workbookViewId="0">
      <selection activeCell="E21" sqref="E21"/>
    </sheetView>
  </sheetViews>
  <sheetFormatPr baseColWidth="10" defaultRowHeight="15"/>
  <cols>
    <col width="20.140625" bestFit="1" customWidth="1" style="1" min="1" max="1"/>
    <col width="15.140625" bestFit="1" customWidth="1" style="1" min="2" max="2"/>
    <col width="25.7109375" bestFit="1" customWidth="1" style="1" min="3" max="3"/>
    <col width="11.42578125" customWidth="1" style="1" min="4" max="16384"/>
  </cols>
  <sheetData>
    <row r="1" ht="15" customHeight="1">
      <c r="A1" s="59" t="inlineStr">
        <is>
          <t>LA PRADERA</t>
        </is>
      </c>
      <c r="B1" s="60" t="n"/>
      <c r="C1" s="60" t="n"/>
      <c r="D1" s="60" t="n"/>
      <c r="E1" s="61" t="n"/>
    </row>
    <row r="2" ht="15.75" customHeight="1" thickBot="1">
      <c r="A2" s="62" t="n"/>
      <c r="B2" s="63" t="n"/>
      <c r="C2" s="63" t="n"/>
      <c r="D2" s="63" t="n"/>
      <c r="E2" s="64" t="n"/>
    </row>
    <row r="3">
      <c r="A3" s="2" t="inlineStr">
        <is>
          <t>Longitud:</t>
        </is>
      </c>
      <c r="B3" s="1" t="n">
        <v>4.5</v>
      </c>
    </row>
    <row r="4">
      <c r="A4" s="2" t="inlineStr">
        <is>
          <t>Diametro:</t>
        </is>
      </c>
      <c r="B4" s="1" t="n">
        <v>2.4</v>
      </c>
    </row>
    <row r="5" ht="21" customHeight="1">
      <c r="A5" s="2" t="inlineStr">
        <is>
          <t>Volumen del Tanque:</t>
        </is>
      </c>
      <c r="B5" s="1" t="inlineStr">
        <is>
          <t>((Pi*r2)*L)*1000</t>
        </is>
      </c>
      <c r="C5" s="10" t="inlineStr">
        <is>
          <t>20.358 Lts</t>
        </is>
      </c>
    </row>
    <row r="7" ht="18.75" customHeight="1">
      <c r="B7" s="9" t="inlineStr">
        <is>
          <t>Cm de varilla</t>
        </is>
      </c>
      <c r="C7" s="9" t="inlineStr">
        <is>
          <t>Lts de Gas Oil</t>
        </is>
      </c>
    </row>
    <row r="8" ht="14.25" customHeight="1">
      <c r="B8" s="3" t="n">
        <v>0</v>
      </c>
      <c r="C8" s="4" t="n">
        <v>0</v>
      </c>
    </row>
    <row r="9" ht="14.25" customHeight="1">
      <c r="B9" s="5" t="n">
        <v>0.05</v>
      </c>
      <c r="C9" s="6" t="n">
        <v>103</v>
      </c>
    </row>
    <row r="10" ht="14.25" customHeight="1">
      <c r="B10" s="5" t="n">
        <v>0.1</v>
      </c>
      <c r="C10" s="6" t="n">
        <v>290</v>
      </c>
    </row>
    <row r="11" ht="14.25" customHeight="1">
      <c r="B11" s="5" t="n">
        <v>0.15</v>
      </c>
      <c r="C11" s="6" t="n">
        <v>530</v>
      </c>
    </row>
    <row r="12" ht="14.25" customHeight="1">
      <c r="B12" s="5" t="n">
        <v>0.2</v>
      </c>
      <c r="C12" s="6" t="n">
        <v>810</v>
      </c>
    </row>
    <row r="13" ht="14.25" customHeight="1">
      <c r="B13" s="5" t="n">
        <v>0.25</v>
      </c>
      <c r="C13" s="6" t="n">
        <v>1125</v>
      </c>
    </row>
    <row r="14" ht="14.25" customHeight="1">
      <c r="B14" s="5" t="n">
        <v>0.3</v>
      </c>
      <c r="C14" s="6" t="n">
        <v>1469</v>
      </c>
    </row>
    <row r="15" ht="14.25" customHeight="1">
      <c r="B15" s="5" t="n">
        <v>0.35</v>
      </c>
      <c r="C15" s="6" t="n">
        <v>1838</v>
      </c>
    </row>
    <row r="16" ht="14.25" customHeight="1">
      <c r="B16" s="5" t="n">
        <v>0.4</v>
      </c>
      <c r="C16" s="6" t="n">
        <v>2230</v>
      </c>
    </row>
    <row r="17" ht="14.25" customHeight="1">
      <c r="B17" s="5" t="n">
        <v>0.45</v>
      </c>
      <c r="C17" s="6" t="n">
        <v>2642</v>
      </c>
    </row>
    <row r="18" ht="14.25" customHeight="1">
      <c r="B18" s="5" t="n">
        <v>0.5</v>
      </c>
      <c r="C18" s="6" t="n">
        <v>3073</v>
      </c>
    </row>
    <row r="19" ht="14.25" customHeight="1">
      <c r="B19" s="5" t="n">
        <v>0.55</v>
      </c>
      <c r="C19" s="6" t="n">
        <v>3519</v>
      </c>
    </row>
    <row r="20" ht="14.25" customHeight="1">
      <c r="B20" s="5" t="n">
        <v>0.6</v>
      </c>
      <c r="C20" s="6" t="n">
        <v>3980</v>
      </c>
    </row>
    <row r="21" ht="14.25" customHeight="1">
      <c r="B21" s="5" t="n">
        <v>0.65</v>
      </c>
      <c r="C21" s="6" t="n">
        <v>4454</v>
      </c>
    </row>
    <row r="22" ht="14.25" customHeight="1">
      <c r="B22" s="5" t="n">
        <v>0.7</v>
      </c>
      <c r="C22" s="6" t="n">
        <v>4939</v>
      </c>
    </row>
    <row r="23" ht="14.25" customHeight="1">
      <c r="B23" s="5" t="n">
        <v>0.75</v>
      </c>
      <c r="C23" s="6" t="n">
        <v>5435</v>
      </c>
    </row>
    <row r="24" ht="14.25" customHeight="1">
      <c r="B24" s="5" t="n">
        <v>0.8</v>
      </c>
      <c r="C24" s="6" t="n">
        <v>5940</v>
      </c>
    </row>
    <row r="25" ht="14.25" customHeight="1">
      <c r="B25" s="5" t="n">
        <v>0.85</v>
      </c>
      <c r="C25" s="6" t="n">
        <v>6453</v>
      </c>
    </row>
    <row r="26" ht="14.25" customHeight="1">
      <c r="B26" s="5" t="n">
        <v>0.9</v>
      </c>
      <c r="C26" s="6" t="n">
        <v>6973</v>
      </c>
    </row>
    <row r="27" ht="14.25" customHeight="1">
      <c r="B27" s="5" t="n">
        <v>0.95</v>
      </c>
      <c r="C27" s="6" t="n">
        <v>7498</v>
      </c>
    </row>
    <row r="28" ht="14.25" customHeight="1">
      <c r="B28" s="5" t="n">
        <v>1</v>
      </c>
      <c r="C28" s="6" t="n">
        <v>8029</v>
      </c>
    </row>
    <row r="29" ht="14.25" customHeight="1">
      <c r="B29" s="5" t="n">
        <v>1.05</v>
      </c>
      <c r="C29" s="6" t="n">
        <v>8563</v>
      </c>
    </row>
    <row r="30" ht="14.25" customHeight="1">
      <c r="B30" s="15" t="n">
        <v>1.1</v>
      </c>
      <c r="C30" s="6" t="n">
        <v>9100</v>
      </c>
    </row>
    <row r="31" ht="14.25" customHeight="1">
      <c r="B31" s="18" t="n">
        <v>1.15</v>
      </c>
      <c r="C31" s="12" t="n">
        <v>9639</v>
      </c>
    </row>
    <row r="32" ht="14.25" customHeight="1">
      <c r="B32" s="17" t="n">
        <v>1.2</v>
      </c>
      <c r="C32" s="14" t="n">
        <v>10179</v>
      </c>
    </row>
    <row r="33" ht="14.25" customHeight="1">
      <c r="B33" s="16" t="n">
        <v>1.25</v>
      </c>
      <c r="C33" s="4" t="n">
        <v>10719</v>
      </c>
    </row>
    <row r="34" ht="14.25" customHeight="1">
      <c r="B34" s="5" t="n">
        <v>1.3</v>
      </c>
      <c r="C34" s="6" t="n">
        <v>11258</v>
      </c>
    </row>
    <row r="35" ht="14.25" customHeight="1">
      <c r="B35" s="5" t="n">
        <v>1.35</v>
      </c>
      <c r="C35" s="6" t="n">
        <v>11795</v>
      </c>
    </row>
    <row r="36" ht="14.25" customHeight="1">
      <c r="B36" s="5" t="n">
        <v>1.4</v>
      </c>
      <c r="C36" s="6" t="n">
        <v>12329</v>
      </c>
    </row>
    <row r="37" ht="14.25" customHeight="1">
      <c r="B37" s="5" t="n">
        <v>1.45</v>
      </c>
      <c r="C37" s="6" t="n">
        <v>12859</v>
      </c>
    </row>
    <row r="38" ht="14.25" customHeight="1">
      <c r="B38" s="5" t="n">
        <v>1.5</v>
      </c>
      <c r="C38" s="6" t="n">
        <v>13385</v>
      </c>
    </row>
    <row r="39" ht="14.25" customHeight="1">
      <c r="B39" s="5" t="n">
        <v>1.55</v>
      </c>
      <c r="C39" s="6" t="n">
        <v>13904</v>
      </c>
    </row>
    <row r="40" ht="14.25" customHeight="1">
      <c r="B40" s="5" t="n">
        <v>1.6</v>
      </c>
      <c r="C40" s="6" t="n">
        <v>14417</v>
      </c>
    </row>
    <row r="41" ht="14.25" customHeight="1">
      <c r="B41" s="5" t="n">
        <v>1.65</v>
      </c>
      <c r="C41" s="6" t="n">
        <v>14922</v>
      </c>
    </row>
    <row r="42" ht="14.25" customHeight="1">
      <c r="B42" s="5" t="n">
        <v>1.7</v>
      </c>
      <c r="C42" s="6" t="n">
        <v>15418</v>
      </c>
    </row>
    <row r="43" ht="14.25" customHeight="1">
      <c r="B43" s="5" t="n">
        <v>1.75</v>
      </c>
      <c r="C43" s="6" t="n">
        <v>15904</v>
      </c>
    </row>
    <row r="44" ht="14.25" customHeight="1">
      <c r="B44" s="5" t="n">
        <v>1.8</v>
      </c>
      <c r="C44" s="6" t="n">
        <v>16378</v>
      </c>
    </row>
    <row r="45" ht="14.25" customHeight="1">
      <c r="B45" s="5" t="n">
        <v>1.85</v>
      </c>
      <c r="C45" s="6" t="n">
        <v>16839</v>
      </c>
    </row>
    <row r="46" ht="14.25" customHeight="1">
      <c r="B46" s="5" t="n">
        <v>1.9</v>
      </c>
      <c r="C46" s="6" t="n">
        <v>17285</v>
      </c>
    </row>
    <row r="47" ht="14.25" customHeight="1">
      <c r="B47" s="5" t="n">
        <v>1.95</v>
      </c>
      <c r="C47" s="6" t="n">
        <v>17715</v>
      </c>
    </row>
    <row r="48" ht="14.25" customHeight="1">
      <c r="B48" s="5" t="n">
        <v>2</v>
      </c>
      <c r="C48" s="6" t="n">
        <v>18127</v>
      </c>
    </row>
    <row r="49" ht="14.25" customHeight="1">
      <c r="B49" s="5" t="n">
        <v>2.05</v>
      </c>
      <c r="C49" s="6" t="n">
        <v>18519</v>
      </c>
    </row>
    <row r="50" ht="14.25" customHeight="1">
      <c r="B50" s="5" t="n">
        <v>2.1</v>
      </c>
      <c r="C50" s="6" t="n">
        <v>18889</v>
      </c>
    </row>
    <row r="51" ht="14.25" customHeight="1">
      <c r="B51" s="5" t="n">
        <v>2.15</v>
      </c>
      <c r="C51" s="6" t="n">
        <v>19233</v>
      </c>
    </row>
    <row r="52" ht="14.25" customHeight="1">
      <c r="B52" s="5" t="n">
        <v>2.2</v>
      </c>
      <c r="C52" s="6" t="n">
        <v>19547</v>
      </c>
    </row>
    <row r="53" ht="14.25" customHeight="1">
      <c r="B53" s="11" t="n">
        <v>2.25</v>
      </c>
      <c r="C53" s="12" t="n">
        <v>19828</v>
      </c>
    </row>
    <row r="54" ht="14.25" customHeight="1">
      <c r="B54" s="11" t="n">
        <v>2.3</v>
      </c>
      <c r="C54" s="12" t="n">
        <v>20067</v>
      </c>
    </row>
    <row r="55" ht="14.25" customHeight="1">
      <c r="B55" s="11" t="n">
        <v>2.35</v>
      </c>
      <c r="C55" s="12" t="n">
        <v>20254</v>
      </c>
    </row>
    <row r="56" ht="14.25" customHeight="1">
      <c r="B56" s="7" t="n">
        <v>2.4</v>
      </c>
      <c r="C56" s="8" t="n">
        <v>20358</v>
      </c>
    </row>
  </sheetData>
  <mergeCells count="1">
    <mergeCell ref="A1:E2"/>
  </mergeCells>
  <pageMargins left="0.7" right="0.7" top="0.29" bottom="0.17" header="0.3" footer="0.3"/>
  <pageSetup orientation="portrait" paperSize="9"/>
</worksheet>
</file>

<file path=xl/worksheets/sheet11.xml><?xml version="1.0" encoding="utf-8"?>
<worksheet xmlns="http://schemas.openxmlformats.org/spreadsheetml/2006/main">
  <sheetPr>
    <tabColor rgb="FF92D050"/>
    <outlinePr summaryBelow="1" summaryRight="1"/>
    <pageSetUpPr/>
  </sheetPr>
  <dimension ref="B2:E11"/>
  <sheetViews>
    <sheetView tabSelected="1" workbookViewId="0">
      <selection activeCell="E4" sqref="E4"/>
    </sheetView>
  </sheetViews>
  <sheetFormatPr baseColWidth="10" defaultRowHeight="15"/>
  <cols>
    <col width="11.42578125" customWidth="1" style="23" min="1" max="1"/>
    <col width="18.42578125" bestFit="1" customWidth="1" style="23" min="2" max="2"/>
    <col width="12.5703125" customWidth="1" style="23" min="3" max="3"/>
    <col width="11.42578125" customWidth="1" style="23" min="4" max="16384"/>
  </cols>
  <sheetData>
    <row r="2" ht="15.75" customHeight="1">
      <c r="B2" s="24" t="inlineStr">
        <is>
          <t>LA PRADERA</t>
        </is>
      </c>
      <c r="C2" s="25" t="n">
        <v>20358</v>
      </c>
    </row>
    <row r="3" ht="15.75" customHeight="1">
      <c r="B3" s="24" t="inlineStr">
        <is>
          <t>LA PRADERA</t>
        </is>
      </c>
      <c r="C3" s="25" t="n">
        <v>60000</v>
      </c>
      <c r="D3" s="32" t="n">
        <v>50000</v>
      </c>
      <c r="E3" s="23" t="inlineStr">
        <is>
          <t>se creía de este tamaño, por medidas daba 60mil.</t>
        </is>
      </c>
    </row>
    <row r="4" ht="15.75" customHeight="1">
      <c r="B4" s="24" t="inlineStr">
        <is>
          <t>EL WICHI</t>
        </is>
      </c>
      <c r="C4" s="25" t="n">
        <v>29845</v>
      </c>
    </row>
    <row r="5" ht="15.75" customHeight="1">
      <c r="B5" s="24" t="inlineStr">
        <is>
          <t>EL C1</t>
        </is>
      </c>
      <c r="C5" s="25" t="n">
        <v>15237</v>
      </c>
    </row>
    <row r="6" ht="15.75" customHeight="1">
      <c r="B6" s="24" t="inlineStr">
        <is>
          <t>EL C1</t>
        </is>
      </c>
      <c r="C6" s="25" t="n">
        <v>19682</v>
      </c>
    </row>
    <row r="7" ht="15.75" customHeight="1">
      <c r="B7" s="24" t="inlineStr">
        <is>
          <t>EL BUFALO</t>
        </is>
      </c>
      <c r="C7" s="25" t="n">
        <v>31111</v>
      </c>
    </row>
    <row r="8" ht="15.75" customHeight="1">
      <c r="B8" s="24" t="inlineStr">
        <is>
          <t>LA PURIFICADA</t>
        </is>
      </c>
      <c r="C8" s="25" t="n">
        <v>5420</v>
      </c>
    </row>
    <row r="9" ht="15.75" customHeight="1">
      <c r="B9" s="24" t="inlineStr">
        <is>
          <t>LA PURIFICADA</t>
        </is>
      </c>
      <c r="C9" s="25" t="n">
        <v>22455</v>
      </c>
    </row>
    <row r="10" ht="15.75" customHeight="1">
      <c r="B10" s="24" t="inlineStr">
        <is>
          <t>LA UNION</t>
        </is>
      </c>
      <c r="C10" s="25" t="n">
        <v>11366</v>
      </c>
    </row>
    <row r="11" ht="15.75" customHeight="1">
      <c r="C11" s="25">
        <f>SUM(C2:C10)</f>
        <v>215474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2018-10-01T18:28:39Z</dcterms:created>
  <dcterms:modified xsi:type="dcterms:W3CDTF">2026-08-19T18:16:26Z</dcterms:modified>
  <cp:lastModifiedBy>Consulta1</cp:lastModifiedBy>
  <cp:lastPrinted>2021-10-27T12:36:41Z</cp:lastPrinted>
</cp:coreProperties>
</file>